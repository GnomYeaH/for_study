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333d61fb80555777/Документы/GitHub/for_study/sem9/Организация производства/"/>
    </mc:Choice>
  </mc:AlternateContent>
  <xr:revisionPtr revIDLastSave="1" documentId="8_{FC34B01D-1A8F-4A27-9D1E-FFE214EBF4F7}" xr6:coauthVersionLast="47" xr6:coauthVersionMax="47" xr10:uidLastSave="{33EEB384-D7F5-4EFE-8FD4-D4012D8C58EC}"/>
  <bookViews>
    <workbookView xWindow="1752" yWindow="1752" windowWidth="17280" windowHeight="10500" firstSheet="2" activeTab="4" xr2:uid="{00000000-000D-0000-FFFF-FFFF00000000}"/>
  </bookViews>
  <sheets>
    <sheet name="Таблица 1" sheetId="1" r:id="rId1"/>
    <sheet name="Таблица 2" sheetId="2" r:id="rId2"/>
    <sheet name="Таблица 3" sheetId="3" r:id="rId3"/>
    <sheet name="Таблица 4" sheetId="4" r:id="rId4"/>
    <sheet name="Таблица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3" l="1"/>
  <c r="E5" i="3"/>
  <c r="F5" i="3"/>
  <c r="C5" i="3"/>
</calcChain>
</file>

<file path=xl/sharedStrings.xml><?xml version="1.0" encoding="utf-8"?>
<sst xmlns="http://schemas.openxmlformats.org/spreadsheetml/2006/main" count="108" uniqueCount="83">
  <si>
    <t>Инвестиции</t>
  </si>
  <si>
    <t>Производство</t>
  </si>
  <si>
    <t>1. Проектно изыскательная работа 2%</t>
  </si>
  <si>
    <t>2.  Преоброзования лицензий 1,5%</t>
  </si>
  <si>
    <t>3. Закупка оборудования</t>
  </si>
  <si>
    <t>4. Подготовка производства 8% от объема начальных вложений</t>
  </si>
  <si>
    <t>5. Прирост оборотных средств.</t>
  </si>
  <si>
    <t>Итого:</t>
  </si>
  <si>
    <t>Наименования источников</t>
  </si>
  <si>
    <t>Итого</t>
  </si>
  <si>
    <t>1. Собственные средства</t>
  </si>
  <si>
    <t>2. Кредит в банке</t>
  </si>
  <si>
    <t>Наименование показатей</t>
  </si>
  <si>
    <t>1. Кредит банка</t>
  </si>
  <si>
    <t>2. Возрат кредита</t>
  </si>
  <si>
    <t>3. Процент за кредиты</t>
  </si>
  <si>
    <t>Наименование показателей</t>
  </si>
  <si>
    <t>1 Денежный поток от инвестиций</t>
  </si>
  <si>
    <t>1.1 Проектно изыскные работы</t>
  </si>
  <si>
    <t>1.2 Приобретение лицензий</t>
  </si>
  <si>
    <t>1.3 Покупка оборудования</t>
  </si>
  <si>
    <t>1.5 Прирост оборотных средств</t>
  </si>
  <si>
    <t>1.6 Доход от продукции</t>
  </si>
  <si>
    <t>1.4 Подготовка производства</t>
  </si>
  <si>
    <t>2.1 Собственные вложения</t>
  </si>
  <si>
    <t>2. Денежный поток от финансовых деятельности</t>
  </si>
  <si>
    <t>2.2 Кредит</t>
  </si>
  <si>
    <t>2.3 Возврат</t>
  </si>
  <si>
    <t>3. Денежный поток от производства</t>
  </si>
  <si>
    <t>3.1 Доход</t>
  </si>
  <si>
    <t>3.2 Себестоимость</t>
  </si>
  <si>
    <t>3.3 Аммортизация</t>
  </si>
  <si>
    <t>3.4 Процент за кредит</t>
  </si>
  <si>
    <t>3.5 Налог</t>
  </si>
  <si>
    <t>3.6 Прирост</t>
  </si>
  <si>
    <t>4. Сальдо</t>
  </si>
  <si>
    <t>5. Сальдо</t>
  </si>
  <si>
    <t>3,24</t>
  </si>
  <si>
    <t>2,43</t>
  </si>
  <si>
    <t>34,84</t>
  </si>
  <si>
    <t>64,8</t>
  </si>
  <si>
    <t>21,74</t>
  </si>
  <si>
    <t>12,96</t>
  </si>
  <si>
    <t>22</t>
  </si>
  <si>
    <t>40,5</t>
  </si>
  <si>
    <t>16,2</t>
  </si>
  <si>
    <t>34,7</t>
  </si>
  <si>
    <t>48,6</t>
  </si>
  <si>
    <t>220</t>
  </si>
  <si>
    <t>330</t>
  </si>
  <si>
    <t>440</t>
  </si>
  <si>
    <t>550</t>
  </si>
  <si>
    <t>660</t>
  </si>
  <si>
    <t>142</t>
  </si>
  <si>
    <t>236</t>
  </si>
  <si>
    <t>286</t>
  </si>
  <si>
    <t>334</t>
  </si>
  <si>
    <t>13,58</t>
  </si>
  <si>
    <t>7,29</t>
  </si>
  <si>
    <t>0</t>
  </si>
  <si>
    <t>11</t>
  </si>
  <si>
    <t>190</t>
  </si>
  <si>
    <t>37,83</t>
  </si>
  <si>
    <t>64,2</t>
  </si>
  <si>
    <t>38,42</t>
  </si>
  <si>
    <t>58,42</t>
  </si>
  <si>
    <t>79,49</t>
  </si>
  <si>
    <t>132,15</t>
  </si>
  <si>
    <t>179,27</t>
  </si>
  <si>
    <t>212,37</t>
  </si>
  <si>
    <t>13,65</t>
  </si>
  <si>
    <t>11,94</t>
  </si>
  <si>
    <t>28,57</t>
  </si>
  <si>
    <t>45,2</t>
  </si>
  <si>
    <t>60,08</t>
  </si>
  <si>
    <t>88,98</t>
  </si>
  <si>
    <t>30,89</t>
  </si>
  <si>
    <t>132,13</t>
  </si>
  <si>
    <t>270,79</t>
  </si>
  <si>
    <t>650,9</t>
  </si>
  <si>
    <t>380,11</t>
  </si>
  <si>
    <t>200,87</t>
  </si>
  <si>
    <t>68,72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</si>
</sst>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49" fontId="0" fillId="0" borderId="1" xfId="0" applyNumberFormat="1" applyBorder="1" applyAlignment="1">
      <alignment horizontal="left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0" fillId="0" borderId="17" xfId="0" applyNumberFormat="1" applyBorder="1" applyAlignment="1">
      <alignment horizontal="left" wrapText="1"/>
    </xf>
    <xf numFmtId="49" fontId="0" fillId="0" borderId="18" xfId="0" applyNumberFormat="1" applyBorder="1" applyAlignment="1">
      <alignment horizontal="left" wrapText="1"/>
    </xf>
    <xf numFmtId="49" fontId="0" fillId="0" borderId="19" xfId="0" applyNumberFormat="1" applyBorder="1" applyAlignment="1">
      <alignment horizontal="left" wrapText="1"/>
    </xf>
    <xf numFmtId="17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/>
    <xf numFmtId="0" fontId="0" fillId="0" borderId="18" xfId="0" applyBorder="1"/>
    <xf numFmtId="0" fontId="0" fillId="0" borderId="33" xfId="0" applyBorder="1"/>
    <xf numFmtId="0" fontId="0" fillId="0" borderId="11" xfId="0" applyBorder="1"/>
    <xf numFmtId="0" fontId="0" fillId="0" borderId="16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wrapText="1"/>
    </xf>
    <xf numFmtId="0" fontId="0" fillId="0" borderId="3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9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29" xfId="0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5" xfId="0" applyBorder="1" applyAlignment="1">
      <alignment horizontal="center"/>
    </xf>
    <xf numFmtId="0" fontId="0" fillId="0" borderId="35" xfId="0" applyBorder="1"/>
    <xf numFmtId="0" fontId="0" fillId="0" borderId="10" xfId="0" applyBorder="1"/>
    <xf numFmtId="0" fontId="0" fillId="0" borderId="36" xfId="0" applyBorder="1" applyAlignment="1">
      <alignment horizontal="center"/>
    </xf>
    <xf numFmtId="0" fontId="0" fillId="0" borderId="36" xfId="0" applyBorder="1"/>
    <xf numFmtId="0" fontId="0" fillId="0" borderId="9" xfId="0" applyBorder="1"/>
    <xf numFmtId="0" fontId="0" fillId="0" borderId="30" xfId="0" applyBorder="1" applyAlignment="1">
      <alignment horizontal="right" wrapText="1"/>
    </xf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33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8" xfId="0" applyNumberFormat="1" applyBorder="1" applyAlignment="1">
      <alignment horizontal="center"/>
    </xf>
    <xf numFmtId="49" fontId="0" fillId="0" borderId="30" xfId="0" applyNumberFormat="1" applyBorder="1" applyAlignment="1">
      <alignment horizontal="center"/>
    </xf>
    <xf numFmtId="49" fontId="0" fillId="0" borderId="3" xfId="0" applyNumberFormat="1" applyBorder="1" applyAlignment="1">
      <alignment wrapText="1"/>
    </xf>
    <xf numFmtId="49" fontId="0" fillId="0" borderId="38" xfId="0" applyNumberFormat="1" applyBorder="1" applyAlignment="1">
      <alignment wrapText="1"/>
    </xf>
    <xf numFmtId="49" fontId="0" fillId="0" borderId="30" xfId="0" applyNumberFormat="1" applyBorder="1" applyAlignment="1">
      <alignment wrapText="1"/>
    </xf>
    <xf numFmtId="49" fontId="0" fillId="0" borderId="29" xfId="0" applyNumberFormat="1" applyBorder="1" applyAlignment="1">
      <alignment wrapText="1"/>
    </xf>
    <xf numFmtId="49" fontId="0" fillId="0" borderId="37" xfId="0" applyNumberFormat="1" applyBorder="1" applyAlignment="1">
      <alignment horizontal="center"/>
    </xf>
    <xf numFmtId="49" fontId="0" fillId="0" borderId="31" xfId="0" applyNumberFormat="1" applyBorder="1" applyAlignment="1">
      <alignment horizontal="center"/>
    </xf>
    <xf numFmtId="49" fontId="0" fillId="0" borderId="36" xfId="0" applyNumberFormat="1" applyBorder="1" applyAlignment="1">
      <alignment horizontal="center"/>
    </xf>
    <xf numFmtId="49" fontId="0" fillId="0" borderId="32" xfId="0" applyNumberFormat="1" applyBorder="1" applyAlignment="1">
      <alignment horizontal="center"/>
    </xf>
    <xf numFmtId="49" fontId="0" fillId="0" borderId="16" xfId="0" applyNumberFormat="1" applyBorder="1" applyAlignment="1">
      <alignment horizontal="left" wrapText="1"/>
    </xf>
    <xf numFmtId="49" fontId="0" fillId="0" borderId="20" xfId="0" applyNumberFormat="1" applyBorder="1" applyAlignment="1">
      <alignment horizontal="left" wrapText="1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D24" sqref="D24"/>
    </sheetView>
  </sheetViews>
  <sheetFormatPr defaultRowHeight="14.4" x14ac:dyDescent="0.3"/>
  <cols>
    <col min="1" max="1" width="22.33203125" style="3" bestFit="1" customWidth="1"/>
    <col min="2" max="4" width="8.88671875" style="4"/>
    <col min="5" max="5" width="8.88671875" style="5"/>
    <col min="6" max="6" width="8.88671875" style="4"/>
    <col min="7" max="7" width="8.88671875" style="5"/>
    <col min="8" max="8" width="8.88671875" style="4"/>
    <col min="9" max="9" width="8.88671875" style="5"/>
  </cols>
  <sheetData>
    <row r="1" spans="1:9" x14ac:dyDescent="0.3">
      <c r="A1" s="73"/>
      <c r="B1" s="75" t="s">
        <v>0</v>
      </c>
      <c r="C1" s="76"/>
      <c r="D1" s="77"/>
      <c r="E1" s="76" t="s">
        <v>1</v>
      </c>
      <c r="F1" s="76"/>
      <c r="G1" s="76"/>
      <c r="H1" s="76"/>
      <c r="I1" s="77"/>
    </row>
    <row r="2" spans="1:9" ht="15" thickBot="1" x14ac:dyDescent="0.35">
      <c r="A2" s="74"/>
      <c r="B2" s="20">
        <v>1</v>
      </c>
      <c r="C2" s="21">
        <v>2</v>
      </c>
      <c r="D2" s="24">
        <v>3</v>
      </c>
      <c r="E2" s="22">
        <v>4</v>
      </c>
      <c r="F2" s="21">
        <v>5</v>
      </c>
      <c r="G2" s="22">
        <v>6</v>
      </c>
      <c r="H2" s="21">
        <v>7</v>
      </c>
      <c r="I2" s="23">
        <v>8</v>
      </c>
    </row>
    <row r="3" spans="1:9" ht="43.2" x14ac:dyDescent="0.3">
      <c r="A3" s="13" t="s">
        <v>2</v>
      </c>
      <c r="B3" s="16">
        <v>3.24</v>
      </c>
      <c r="C3" s="4">
        <v>0</v>
      </c>
      <c r="D3" s="25">
        <v>0</v>
      </c>
      <c r="I3" s="6"/>
    </row>
    <row r="4" spans="1:9" ht="28.8" x14ac:dyDescent="0.3">
      <c r="A4" s="13" t="s">
        <v>3</v>
      </c>
      <c r="B4" s="17">
        <v>2.4300000000000002</v>
      </c>
      <c r="C4" s="4">
        <v>0</v>
      </c>
      <c r="D4" s="25">
        <v>0</v>
      </c>
      <c r="I4" s="6"/>
    </row>
    <row r="5" spans="1:9" ht="28.8" x14ac:dyDescent="0.3">
      <c r="A5" s="13" t="s">
        <v>4</v>
      </c>
      <c r="B5" s="17">
        <v>34.840000000000003</v>
      </c>
      <c r="C5" s="4">
        <v>64.8</v>
      </c>
      <c r="D5" s="25">
        <v>21.74</v>
      </c>
      <c r="I5" s="6"/>
    </row>
    <row r="6" spans="1:9" ht="57.6" x14ac:dyDescent="0.3">
      <c r="A6" s="13" t="s">
        <v>5</v>
      </c>
      <c r="B6" s="17">
        <v>0</v>
      </c>
      <c r="C6" s="4">
        <v>0</v>
      </c>
      <c r="D6" s="25">
        <v>12.96</v>
      </c>
      <c r="I6" s="6"/>
    </row>
    <row r="7" spans="1:9" ht="29.4" thickBot="1" x14ac:dyDescent="0.35">
      <c r="A7" s="14" t="s">
        <v>6</v>
      </c>
      <c r="B7" s="18">
        <v>0</v>
      </c>
      <c r="C7" s="7">
        <v>0</v>
      </c>
      <c r="D7" s="26">
        <v>0</v>
      </c>
      <c r="E7" s="8">
        <v>22</v>
      </c>
      <c r="F7" s="7"/>
      <c r="G7" s="8"/>
      <c r="H7" s="7"/>
      <c r="I7" s="9"/>
    </row>
    <row r="8" spans="1:9" ht="15" thickBot="1" x14ac:dyDescent="0.35">
      <c r="A8" s="15" t="s">
        <v>7</v>
      </c>
      <c r="B8" s="19">
        <v>40.5</v>
      </c>
      <c r="C8" s="10">
        <v>64.8</v>
      </c>
      <c r="D8" s="27">
        <v>34.700000000000003</v>
      </c>
      <c r="E8" s="11">
        <v>22</v>
      </c>
      <c r="F8" s="10"/>
      <c r="G8" s="11"/>
      <c r="H8" s="10"/>
      <c r="I8" s="12"/>
    </row>
  </sheetData>
  <mergeCells count="3">
    <mergeCell ref="A1:A2"/>
    <mergeCell ref="B1:D1"/>
    <mergeCell ref="E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3594-F240-4B2F-9B5D-7373BDF1DB5F}">
  <dimension ref="B1:D3"/>
  <sheetViews>
    <sheetView workbookViewId="0">
      <selection activeCell="D18" sqref="D18"/>
    </sheetView>
  </sheetViews>
  <sheetFormatPr defaultRowHeight="14.4" x14ac:dyDescent="0.3"/>
  <cols>
    <col min="1" max="1" width="2.77734375" customWidth="1"/>
  </cols>
  <sheetData>
    <row r="1" spans="2:4" ht="15" thickBot="1" x14ac:dyDescent="0.35"/>
    <row r="2" spans="2:4" x14ac:dyDescent="0.3">
      <c r="B2" s="32">
        <v>1</v>
      </c>
      <c r="C2" s="33">
        <v>2</v>
      </c>
      <c r="D2" s="34">
        <v>3</v>
      </c>
    </row>
    <row r="3" spans="2:4" ht="15" thickBot="1" x14ac:dyDescent="0.35">
      <c r="B3" s="29">
        <v>0</v>
      </c>
      <c r="C3" s="30">
        <v>48.8</v>
      </c>
      <c r="D3" s="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1AA8-879F-4D6D-97AA-35A035C6C455}">
  <dimension ref="B1:L5"/>
  <sheetViews>
    <sheetView workbookViewId="0">
      <selection activeCell="E12" sqref="E12:E13"/>
    </sheetView>
  </sheetViews>
  <sheetFormatPr defaultRowHeight="14.4" x14ac:dyDescent="0.3"/>
  <cols>
    <col min="1" max="1" width="2.77734375" customWidth="1"/>
    <col min="2" max="2" width="15.21875" style="35" customWidth="1"/>
  </cols>
  <sheetData>
    <row r="1" spans="2:12" ht="15" thickBot="1" x14ac:dyDescent="0.35"/>
    <row r="2" spans="2:12" ht="29.4" thickBot="1" x14ac:dyDescent="0.35">
      <c r="B2" s="39" t="s">
        <v>8</v>
      </c>
      <c r="C2" s="44">
        <v>1</v>
      </c>
      <c r="D2" s="47">
        <v>2</v>
      </c>
      <c r="E2" s="44">
        <v>3</v>
      </c>
      <c r="F2" s="47">
        <v>4</v>
      </c>
      <c r="G2" s="44">
        <v>5</v>
      </c>
      <c r="H2" s="47">
        <v>6</v>
      </c>
      <c r="I2" s="44">
        <v>7</v>
      </c>
      <c r="J2" s="38">
        <v>8</v>
      </c>
      <c r="K2" s="41" t="s">
        <v>9</v>
      </c>
      <c r="L2" s="1"/>
    </row>
    <row r="3" spans="2:12" ht="28.8" x14ac:dyDescent="0.3">
      <c r="B3" s="39" t="s">
        <v>10</v>
      </c>
      <c r="C3" s="45">
        <v>40.5</v>
      </c>
      <c r="D3" s="48">
        <v>16.2</v>
      </c>
      <c r="E3" s="45">
        <v>34.700000000000003</v>
      </c>
      <c r="F3" s="48">
        <v>22</v>
      </c>
      <c r="G3" s="45"/>
      <c r="H3" s="48"/>
      <c r="I3" s="45"/>
      <c r="J3" s="28"/>
      <c r="K3" s="42"/>
    </row>
    <row r="4" spans="2:12" ht="29.4" thickBot="1" x14ac:dyDescent="0.35">
      <c r="B4" s="40" t="s">
        <v>11</v>
      </c>
      <c r="C4" s="46">
        <v>0</v>
      </c>
      <c r="D4" s="49">
        <v>48.6</v>
      </c>
      <c r="E4" s="46">
        <v>0</v>
      </c>
      <c r="F4" s="49">
        <v>0</v>
      </c>
      <c r="G4" s="46"/>
      <c r="H4" s="49"/>
      <c r="I4" s="46"/>
      <c r="J4" s="30"/>
      <c r="K4" s="43"/>
    </row>
    <row r="5" spans="2:12" ht="15" thickBot="1" x14ac:dyDescent="0.35">
      <c r="B5" s="50" t="s">
        <v>7</v>
      </c>
      <c r="C5" s="46">
        <f>SUM(C3:C4)</f>
        <v>40.5</v>
      </c>
      <c r="D5" s="46">
        <f t="shared" ref="D5:F5" si="0">SUM(D3:D4)</f>
        <v>64.8</v>
      </c>
      <c r="E5" s="46">
        <f t="shared" si="0"/>
        <v>34.700000000000003</v>
      </c>
      <c r="F5" s="46">
        <f t="shared" si="0"/>
        <v>22</v>
      </c>
      <c r="G5" s="46"/>
      <c r="H5" s="46"/>
      <c r="I5" s="46"/>
      <c r="J5" s="30"/>
      <c r="K5" s="43"/>
    </row>
  </sheetData>
  <pageMargins left="0.7" right="0.7" top="0.75" bottom="0.75" header="0.3" footer="0.3"/>
  <ignoredErrors>
    <ignoredError sqref="C5:F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D510-0BA5-48FD-B096-836923069A5A}">
  <dimension ref="B1:K5"/>
  <sheetViews>
    <sheetView workbookViewId="0">
      <selection activeCell="C11" sqref="C11"/>
    </sheetView>
  </sheetViews>
  <sheetFormatPr defaultRowHeight="14.4" x14ac:dyDescent="0.3"/>
  <cols>
    <col min="1" max="1" width="2.88671875" customWidth="1"/>
    <col min="2" max="2" width="14" customWidth="1"/>
  </cols>
  <sheetData>
    <row r="1" spans="2:11" ht="15" thickBot="1" x14ac:dyDescent="0.35"/>
    <row r="2" spans="2:11" ht="29.4" thickBot="1" x14ac:dyDescent="0.35">
      <c r="B2" s="39" t="s">
        <v>12</v>
      </c>
      <c r="C2" s="45">
        <v>1</v>
      </c>
      <c r="D2" s="28">
        <v>2</v>
      </c>
      <c r="E2" s="48">
        <v>3</v>
      </c>
      <c r="F2" s="28">
        <v>4</v>
      </c>
      <c r="G2" s="48">
        <v>5</v>
      </c>
      <c r="H2" s="28">
        <v>6</v>
      </c>
      <c r="I2" s="48">
        <v>7</v>
      </c>
      <c r="J2" s="28">
        <v>8</v>
      </c>
      <c r="K2" s="42" t="s">
        <v>9</v>
      </c>
    </row>
    <row r="3" spans="2:11" ht="28.8" x14ac:dyDescent="0.3">
      <c r="B3" s="39" t="s">
        <v>13</v>
      </c>
      <c r="C3" s="45">
        <v>0</v>
      </c>
      <c r="D3" s="28">
        <v>48.6</v>
      </c>
      <c r="E3" s="48">
        <v>0</v>
      </c>
      <c r="F3" s="28">
        <v>0</v>
      </c>
      <c r="G3" s="48">
        <v>0</v>
      </c>
      <c r="H3" s="28">
        <v>0</v>
      </c>
      <c r="I3" s="48">
        <v>0</v>
      </c>
      <c r="J3" s="28">
        <v>0</v>
      </c>
      <c r="K3" s="42">
        <v>0</v>
      </c>
    </row>
    <row r="4" spans="2:11" ht="29.4" thickBot="1" x14ac:dyDescent="0.35">
      <c r="B4" s="40" t="s">
        <v>14</v>
      </c>
      <c r="C4" s="46">
        <v>0</v>
      </c>
      <c r="D4" s="30">
        <v>0</v>
      </c>
      <c r="E4" s="49">
        <v>0</v>
      </c>
      <c r="F4" s="30">
        <v>0</v>
      </c>
      <c r="G4" s="49">
        <v>48.6</v>
      </c>
      <c r="H4" s="30">
        <v>0</v>
      </c>
      <c r="I4" s="49">
        <v>0</v>
      </c>
      <c r="J4" s="30">
        <v>0</v>
      </c>
      <c r="K4" s="43">
        <v>0</v>
      </c>
    </row>
    <row r="5" spans="2:11" ht="29.4" thickBot="1" x14ac:dyDescent="0.35">
      <c r="B5" s="40" t="s">
        <v>15</v>
      </c>
      <c r="C5" s="46">
        <v>0</v>
      </c>
      <c r="D5" s="30">
        <v>0</v>
      </c>
      <c r="E5" s="49">
        <v>0</v>
      </c>
      <c r="F5" s="30">
        <v>13.58</v>
      </c>
      <c r="G5" s="49">
        <v>7.29</v>
      </c>
      <c r="H5" s="30">
        <v>0</v>
      </c>
      <c r="I5" s="49">
        <v>0</v>
      </c>
      <c r="J5" s="30">
        <v>0</v>
      </c>
      <c r="K5" s="43">
        <v>21.87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C5907-0B8F-4106-AC7D-FB015BD29ABC}">
  <dimension ref="B1:K22"/>
  <sheetViews>
    <sheetView tabSelected="1" zoomScale="70" zoomScaleNormal="70" workbookViewId="0">
      <selection activeCell="O9" sqref="O9"/>
    </sheetView>
  </sheetViews>
  <sheetFormatPr defaultRowHeight="14.4" x14ac:dyDescent="0.3"/>
  <cols>
    <col min="1" max="1" width="2.77734375" customWidth="1"/>
    <col min="2" max="2" width="22.21875" style="51" customWidth="1"/>
    <col min="3" max="3" width="8.88671875" style="2"/>
    <col min="5" max="5" width="8.88671875" style="2"/>
    <col min="7" max="7" width="8.88671875" style="2"/>
    <col min="9" max="9" width="8.88671875" style="2"/>
  </cols>
  <sheetData>
    <row r="1" spans="2:11" ht="15" thickBot="1" x14ac:dyDescent="0.35"/>
    <row r="2" spans="2:11" ht="29.4" thickBot="1" x14ac:dyDescent="0.35">
      <c r="B2" s="65" t="s">
        <v>16</v>
      </c>
      <c r="C2" s="60">
        <v>1</v>
      </c>
      <c r="D2" s="36">
        <v>2</v>
      </c>
      <c r="E2" s="61">
        <v>3</v>
      </c>
      <c r="F2" s="36">
        <v>4</v>
      </c>
      <c r="G2" s="61">
        <v>5</v>
      </c>
      <c r="H2" s="36">
        <v>6</v>
      </c>
      <c r="I2" s="61">
        <v>7</v>
      </c>
      <c r="J2" s="37">
        <v>8</v>
      </c>
      <c r="K2" s="62" t="s">
        <v>9</v>
      </c>
    </row>
    <row r="3" spans="2:11" ht="28.8" x14ac:dyDescent="0.3">
      <c r="B3" s="66" t="s">
        <v>17</v>
      </c>
      <c r="C3" s="53" t="s">
        <v>44</v>
      </c>
      <c r="D3" s="54" t="s">
        <v>63</v>
      </c>
      <c r="E3" s="52" t="s">
        <v>46</v>
      </c>
      <c r="F3" s="54" t="s">
        <v>43</v>
      </c>
      <c r="G3" s="52"/>
      <c r="H3" s="54"/>
      <c r="I3" s="52"/>
      <c r="J3" s="55" t="s">
        <v>64</v>
      </c>
      <c r="K3" s="63"/>
    </row>
    <row r="4" spans="2:11" ht="28.8" x14ac:dyDescent="0.3">
      <c r="B4" s="66" t="s">
        <v>18</v>
      </c>
      <c r="C4" s="53" t="s">
        <v>37</v>
      </c>
      <c r="D4" s="54"/>
      <c r="E4" s="52"/>
      <c r="F4" s="54"/>
      <c r="G4" s="52"/>
      <c r="H4" s="54"/>
      <c r="I4" s="52"/>
      <c r="J4" s="55"/>
      <c r="K4" s="63"/>
    </row>
    <row r="5" spans="2:11" ht="28.8" x14ac:dyDescent="0.3">
      <c r="B5" s="66" t="s">
        <v>19</v>
      </c>
      <c r="C5" s="53" t="s">
        <v>38</v>
      </c>
      <c r="D5" s="54"/>
      <c r="E5" s="52"/>
      <c r="F5" s="54"/>
      <c r="G5" s="52"/>
      <c r="H5" s="54"/>
      <c r="I5" s="52"/>
      <c r="J5" s="55"/>
      <c r="K5" s="63"/>
    </row>
    <row r="6" spans="2:11" ht="28.8" x14ac:dyDescent="0.3">
      <c r="B6" s="66" t="s">
        <v>20</v>
      </c>
      <c r="C6" s="53" t="s">
        <v>39</v>
      </c>
      <c r="D6" s="54" t="s">
        <v>40</v>
      </c>
      <c r="E6" s="52" t="s">
        <v>41</v>
      </c>
      <c r="F6" s="54"/>
      <c r="G6" s="52"/>
      <c r="H6" s="54"/>
      <c r="I6" s="52"/>
      <c r="J6" s="55"/>
      <c r="K6" s="63"/>
    </row>
    <row r="7" spans="2:11" ht="28.8" x14ac:dyDescent="0.3">
      <c r="B7" s="66" t="s">
        <v>23</v>
      </c>
      <c r="C7" s="53"/>
      <c r="D7" s="54"/>
      <c r="E7" s="52" t="s">
        <v>42</v>
      </c>
      <c r="F7" s="54"/>
      <c r="G7" s="52"/>
      <c r="H7" s="54"/>
      <c r="I7" s="52"/>
      <c r="J7" s="55"/>
      <c r="K7" s="63"/>
    </row>
    <row r="8" spans="2:11" ht="28.8" x14ac:dyDescent="0.3">
      <c r="B8" s="66" t="s">
        <v>21</v>
      </c>
      <c r="C8" s="53"/>
      <c r="D8" s="54"/>
      <c r="E8" s="52"/>
      <c r="F8" s="54" t="s">
        <v>43</v>
      </c>
      <c r="G8" s="52"/>
      <c r="H8" s="54"/>
      <c r="I8" s="52"/>
      <c r="J8" s="55"/>
      <c r="K8" s="63"/>
    </row>
    <row r="9" spans="2:11" ht="15" thickBot="1" x14ac:dyDescent="0.35">
      <c r="B9" s="66" t="s">
        <v>22</v>
      </c>
      <c r="C9" s="53"/>
      <c r="D9" s="54"/>
      <c r="E9" s="52"/>
      <c r="F9" s="54"/>
      <c r="G9" s="52"/>
      <c r="H9" s="54"/>
      <c r="I9" s="52"/>
      <c r="J9" s="55" t="s">
        <v>65</v>
      </c>
      <c r="K9" s="63"/>
    </row>
    <row r="10" spans="2:11" ht="43.2" x14ac:dyDescent="0.3">
      <c r="B10" s="68" t="s">
        <v>25</v>
      </c>
      <c r="C10" s="48"/>
      <c r="D10" s="28"/>
      <c r="E10" s="48"/>
      <c r="F10" s="28"/>
      <c r="G10" s="71"/>
      <c r="H10" s="70"/>
      <c r="I10" s="71"/>
      <c r="J10" s="72"/>
      <c r="K10" s="63"/>
    </row>
    <row r="11" spans="2:11" ht="28.8" x14ac:dyDescent="0.3">
      <c r="B11" s="66" t="s">
        <v>24</v>
      </c>
      <c r="C11" s="53" t="s">
        <v>44</v>
      </c>
      <c r="D11" s="54" t="s">
        <v>45</v>
      </c>
      <c r="E11" s="52" t="s">
        <v>46</v>
      </c>
      <c r="F11" s="54" t="s">
        <v>43</v>
      </c>
      <c r="G11" s="52"/>
      <c r="H11" s="54" t="s">
        <v>47</v>
      </c>
      <c r="I11" s="52"/>
      <c r="J11" s="55"/>
      <c r="K11" s="63"/>
    </row>
    <row r="12" spans="2:11" x14ac:dyDescent="0.3">
      <c r="B12" s="66" t="s">
        <v>26</v>
      </c>
      <c r="C12" s="53"/>
      <c r="D12" s="54" t="s">
        <v>47</v>
      </c>
      <c r="E12" s="52"/>
      <c r="F12" s="54"/>
      <c r="G12" s="52"/>
      <c r="H12" s="54"/>
      <c r="I12" s="52"/>
      <c r="J12" s="55"/>
      <c r="K12" s="63"/>
    </row>
    <row r="13" spans="2:11" ht="15" thickBot="1" x14ac:dyDescent="0.35">
      <c r="B13" s="67" t="s">
        <v>27</v>
      </c>
      <c r="C13" s="56"/>
      <c r="D13" s="57"/>
      <c r="E13" s="58"/>
      <c r="F13" s="57"/>
      <c r="G13" s="57"/>
      <c r="H13" s="57" t="s">
        <v>47</v>
      </c>
      <c r="I13" s="58"/>
      <c r="J13" s="59"/>
      <c r="K13" s="63"/>
    </row>
    <row r="14" spans="2:11" ht="28.8" x14ac:dyDescent="0.3">
      <c r="B14" s="66" t="s">
        <v>28</v>
      </c>
      <c r="C14" s="53"/>
      <c r="D14" s="54"/>
      <c r="E14" s="52"/>
      <c r="F14" s="54" t="s">
        <v>62</v>
      </c>
      <c r="G14" s="52" t="s">
        <v>66</v>
      </c>
      <c r="H14" s="54" t="s">
        <v>67</v>
      </c>
      <c r="I14" s="52" t="s">
        <v>68</v>
      </c>
      <c r="J14" s="55" t="s">
        <v>69</v>
      </c>
      <c r="K14" s="63"/>
    </row>
    <row r="15" spans="2:11" x14ac:dyDescent="0.3">
      <c r="B15" s="66" t="s">
        <v>29</v>
      </c>
      <c r="C15" s="53"/>
      <c r="D15" s="54"/>
      <c r="E15" s="52"/>
      <c r="F15" s="54" t="s">
        <v>48</v>
      </c>
      <c r="G15" s="52" t="s">
        <v>49</v>
      </c>
      <c r="H15" s="54" t="s">
        <v>50</v>
      </c>
      <c r="I15" s="52" t="s">
        <v>51</v>
      </c>
      <c r="J15" s="55" t="s">
        <v>52</v>
      </c>
      <c r="K15" s="63"/>
    </row>
    <row r="16" spans="2:11" x14ac:dyDescent="0.3">
      <c r="B16" s="66" t="s">
        <v>30</v>
      </c>
      <c r="C16" s="53"/>
      <c r="D16" s="54"/>
      <c r="E16" s="52"/>
      <c r="F16" s="54" t="s">
        <v>53</v>
      </c>
      <c r="G16" s="52" t="s">
        <v>61</v>
      </c>
      <c r="H16" s="54" t="s">
        <v>54</v>
      </c>
      <c r="I16" s="52" t="s">
        <v>55</v>
      </c>
      <c r="J16" s="55" t="s">
        <v>56</v>
      </c>
      <c r="K16" s="63"/>
    </row>
    <row r="17" spans="2:11" x14ac:dyDescent="0.3">
      <c r="B17" s="66" t="s">
        <v>31</v>
      </c>
      <c r="C17" s="53"/>
      <c r="D17" s="54"/>
      <c r="E17" s="52"/>
      <c r="F17" s="54" t="s">
        <v>70</v>
      </c>
      <c r="G17" s="54" t="s">
        <v>70</v>
      </c>
      <c r="H17" s="54" t="s">
        <v>70</v>
      </c>
      <c r="I17" s="54" t="s">
        <v>70</v>
      </c>
      <c r="J17" s="54" t="s">
        <v>70</v>
      </c>
      <c r="K17" s="63"/>
    </row>
    <row r="18" spans="2:11" x14ac:dyDescent="0.3">
      <c r="B18" s="66" t="s">
        <v>32</v>
      </c>
      <c r="C18" s="53"/>
      <c r="D18" s="54"/>
      <c r="E18" s="52"/>
      <c r="F18" s="54" t="s">
        <v>57</v>
      </c>
      <c r="G18" s="52" t="s">
        <v>58</v>
      </c>
      <c r="H18" s="54"/>
      <c r="I18" s="52"/>
      <c r="J18" s="55"/>
      <c r="K18" s="63"/>
    </row>
    <row r="19" spans="2:11" x14ac:dyDescent="0.3">
      <c r="B19" s="66" t="s">
        <v>33</v>
      </c>
      <c r="C19" s="53"/>
      <c r="D19" s="54"/>
      <c r="E19" s="52"/>
      <c r="F19" s="54" t="s">
        <v>71</v>
      </c>
      <c r="G19" s="52" t="s">
        <v>72</v>
      </c>
      <c r="H19" s="54" t="s">
        <v>73</v>
      </c>
      <c r="I19" s="52" t="s">
        <v>74</v>
      </c>
      <c r="J19" s="55" t="s">
        <v>75</v>
      </c>
      <c r="K19" s="63"/>
    </row>
    <row r="20" spans="2:11" ht="15" thickBot="1" x14ac:dyDescent="0.35">
      <c r="B20" s="66" t="s">
        <v>34</v>
      </c>
      <c r="C20" s="53"/>
      <c r="D20" s="54"/>
      <c r="E20" s="52"/>
      <c r="F20" s="54" t="s">
        <v>59</v>
      </c>
      <c r="G20" s="52" t="s">
        <v>60</v>
      </c>
      <c r="H20" s="54" t="s">
        <v>60</v>
      </c>
      <c r="I20" s="52" t="s">
        <v>60</v>
      </c>
      <c r="J20" s="55" t="s">
        <v>60</v>
      </c>
      <c r="K20" s="63"/>
    </row>
    <row r="21" spans="2:11" x14ac:dyDescent="0.3">
      <c r="B21" s="68" t="s">
        <v>35</v>
      </c>
      <c r="C21" s="69" t="s">
        <v>59</v>
      </c>
      <c r="D21" s="70" t="s">
        <v>59</v>
      </c>
      <c r="E21" s="71" t="s">
        <v>59</v>
      </c>
      <c r="F21" s="70" t="s">
        <v>62</v>
      </c>
      <c r="G21" s="71" t="s">
        <v>76</v>
      </c>
      <c r="H21" s="70" t="s">
        <v>77</v>
      </c>
      <c r="I21" s="71" t="s">
        <v>68</v>
      </c>
      <c r="J21" s="72" t="s">
        <v>78</v>
      </c>
      <c r="K21" s="63"/>
    </row>
    <row r="22" spans="2:11" ht="15" thickBot="1" x14ac:dyDescent="0.35">
      <c r="B22" s="67" t="s">
        <v>36</v>
      </c>
      <c r="C22" s="56" t="s">
        <v>59</v>
      </c>
      <c r="D22" s="57" t="s">
        <v>59</v>
      </c>
      <c r="E22" s="58" t="s">
        <v>59</v>
      </c>
      <c r="F22" s="57" t="s">
        <v>62</v>
      </c>
      <c r="G22" s="58" t="s">
        <v>82</v>
      </c>
      <c r="H22" s="57" t="s">
        <v>81</v>
      </c>
      <c r="I22" s="58" t="s">
        <v>80</v>
      </c>
      <c r="J22" s="59" t="s">
        <v>79</v>
      </c>
      <c r="K22" s="64"/>
    </row>
  </sheetData>
  <phoneticPr fontId="1" type="noConversion"/>
  <pageMargins left="0.7" right="0.7" top="0.75" bottom="0.75" header="0.3" footer="0.3"/>
  <ignoredErrors>
    <ignoredError sqref="C4:J8 C18:J18 C16:G16 H16:J16 C10:J10 C9:I9 C12:J12 C11:G11 I11:J11 C15:J15 C13:F13 I13:J13 C14:E14 C17:E17 C20:J20 C19:E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Таблица 1</vt:lpstr>
      <vt:lpstr>Таблица 2</vt:lpstr>
      <vt:lpstr>Таблица 3</vt:lpstr>
      <vt:lpstr>Таблица 4</vt:lpstr>
      <vt:lpstr>Таблица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Sirgey Mochulsky</dc:creator>
  <cp:lastModifiedBy>Sirgey Mochulsky</cp:lastModifiedBy>
  <dcterms:created xsi:type="dcterms:W3CDTF">2015-06-05T18:19:34Z</dcterms:created>
  <dcterms:modified xsi:type="dcterms:W3CDTF">2026-09-09T11:44:13Z</dcterms:modified>
</cp:coreProperties>
</file>