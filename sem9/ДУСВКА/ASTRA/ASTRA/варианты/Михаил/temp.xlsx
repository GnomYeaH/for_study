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35" windowWidth="15120" windowHeight="798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H1122" i="1"/>
  <c r="AO785"/>
  <c r="AO786"/>
  <c r="AO787"/>
  <c r="AO788"/>
  <c r="AO789"/>
  <c r="AO790"/>
  <c r="AO791"/>
  <c r="AO792"/>
  <c r="AO793"/>
  <c r="AO794"/>
  <c r="AO795"/>
  <c r="AO796"/>
  <c r="AO797"/>
  <c r="AO784"/>
  <c r="AO782"/>
  <c r="AO783"/>
  <c r="AO781"/>
  <c r="AO779"/>
  <c r="AO778"/>
  <c r="AO777"/>
  <c r="AO776"/>
  <c r="AO763"/>
  <c r="AO764"/>
  <c r="AO765"/>
  <c r="AO766"/>
  <c r="AO767"/>
  <c r="AO768"/>
  <c r="AO769"/>
  <c r="AO770"/>
  <c r="AO771"/>
  <c r="AO772"/>
  <c r="AO773"/>
  <c r="AO774"/>
  <c r="AO775"/>
  <c r="AO762"/>
  <c r="AO780"/>
  <c r="AQ763"/>
  <c r="AQ764"/>
  <c r="AQ765"/>
  <c r="AQ766"/>
  <c r="AQ767"/>
  <c r="AQ768"/>
  <c r="AQ769"/>
  <c r="AQ770"/>
  <c r="AQ771"/>
  <c r="AQ772"/>
  <c r="AQ773"/>
  <c r="AQ774"/>
  <c r="AQ775"/>
  <c r="AQ776"/>
  <c r="AQ777"/>
  <c r="AQ778"/>
  <c r="AQ779"/>
  <c r="AQ780"/>
  <c r="AQ781"/>
  <c r="AQ782"/>
  <c r="AQ783"/>
  <c r="AQ784"/>
  <c r="AQ785"/>
  <c r="AQ786"/>
  <c r="AQ787"/>
  <c r="AQ788"/>
  <c r="AQ789"/>
  <c r="AQ790"/>
  <c r="AQ791"/>
  <c r="AQ792"/>
  <c r="AQ793"/>
  <c r="AQ794"/>
  <c r="AQ795"/>
  <c r="AQ796"/>
  <c r="AQ797"/>
  <c r="AQ762"/>
  <c r="AP763"/>
  <c r="AP764"/>
  <c r="AP765"/>
  <c r="AP766"/>
  <c r="AP767"/>
  <c r="AP768"/>
  <c r="AP769"/>
  <c r="AP770"/>
  <c r="AP771"/>
  <c r="AP772"/>
  <c r="AP773"/>
  <c r="AP774"/>
  <c r="AP775"/>
  <c r="AP776"/>
  <c r="AP777"/>
  <c r="AP778"/>
  <c r="AP779"/>
  <c r="AP780"/>
  <c r="AP781"/>
  <c r="AP782"/>
  <c r="AP783"/>
  <c r="AP784"/>
  <c r="AP785"/>
  <c r="AP786"/>
  <c r="AP787"/>
  <c r="AP788"/>
  <c r="AP789"/>
  <c r="AP790"/>
  <c r="AP791"/>
  <c r="AP792"/>
  <c r="AP793"/>
  <c r="AP794"/>
  <c r="AP795"/>
  <c r="AP796"/>
  <c r="AP797"/>
  <c r="AP762"/>
  <c r="G1121"/>
  <c r="H1123"/>
  <c r="H1124"/>
  <c r="H1125"/>
  <c r="H1126"/>
  <c r="H1127"/>
  <c r="H1128"/>
  <c r="H1129"/>
  <c r="H1130"/>
  <c r="H1131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00"/>
  <c r="M925"/>
  <c r="P925" s="1"/>
  <c r="M926"/>
  <c r="P926" s="1"/>
  <c r="M927"/>
  <c r="P927" s="1"/>
  <c r="M928"/>
  <c r="P928" s="1"/>
  <c r="M929"/>
  <c r="P929" s="1"/>
  <c r="M930"/>
  <c r="P930" s="1"/>
  <c r="M931"/>
  <c r="P931" s="1"/>
  <c r="M932"/>
  <c r="M933"/>
  <c r="M934"/>
  <c r="M935"/>
  <c r="M924"/>
  <c r="P924" s="1"/>
  <c r="M900"/>
  <c r="L953"/>
  <c r="L954"/>
  <c r="L955"/>
  <c r="L956"/>
  <c r="L957"/>
  <c r="L958"/>
  <c r="L959"/>
  <c r="L960"/>
  <c r="L961"/>
  <c r="L952"/>
  <c r="O900"/>
  <c r="M901"/>
  <c r="O901" s="1"/>
  <c r="M902"/>
  <c r="O902" s="1"/>
  <c r="M903"/>
  <c r="O903" s="1"/>
  <c r="M904"/>
  <c r="O904" s="1"/>
  <c r="M905"/>
  <c r="O905" s="1"/>
  <c r="M906"/>
  <c r="O906" s="1"/>
  <c r="M907"/>
  <c r="O907" s="1"/>
  <c r="M908"/>
  <c r="O908" s="1"/>
  <c r="M909"/>
  <c r="O909" s="1"/>
  <c r="M910"/>
  <c r="O910" s="1"/>
  <c r="M911"/>
  <c r="O911" s="1"/>
  <c r="M912"/>
  <c r="O912" s="1"/>
  <c r="M913"/>
  <c r="O913" s="1"/>
  <c r="M914"/>
  <c r="O914" s="1"/>
  <c r="M915"/>
  <c r="O915" s="1"/>
  <c r="M916"/>
  <c r="O916" s="1"/>
  <c r="M917"/>
  <c r="O917" s="1"/>
  <c r="M918"/>
  <c r="O918" s="1"/>
  <c r="M919"/>
  <c r="O919" s="1"/>
  <c r="M920"/>
  <c r="O920" s="1"/>
  <c r="M921"/>
  <c r="P921" s="1"/>
  <c r="M922"/>
  <c r="P922" s="1"/>
  <c r="M923"/>
  <c r="P923" s="1"/>
  <c r="AQ724"/>
  <c r="AQ725"/>
  <c r="AQ726"/>
  <c r="AQ727"/>
  <c r="AQ728"/>
  <c r="AQ729"/>
  <c r="AQ730"/>
  <c r="AQ731"/>
  <c r="AQ732"/>
  <c r="AQ733"/>
  <c r="AQ734"/>
  <c r="AQ735"/>
  <c r="AQ736"/>
  <c r="AQ737"/>
  <c r="AQ738"/>
  <c r="AQ739"/>
  <c r="AQ740"/>
  <c r="AQ741"/>
  <c r="AQ742"/>
  <c r="AQ743"/>
  <c r="AQ744"/>
  <c r="AQ745"/>
  <c r="AQ746"/>
  <c r="AQ747"/>
  <c r="AQ748"/>
  <c r="AQ749"/>
  <c r="AQ750"/>
  <c r="AQ751"/>
  <c r="AQ752"/>
  <c r="AQ723"/>
  <c r="AR710"/>
  <c r="AR711"/>
  <c r="AR712"/>
  <c r="AR713"/>
  <c r="AR714"/>
  <c r="AR715"/>
  <c r="AR716"/>
  <c r="AR717"/>
  <c r="AR718"/>
  <c r="AR719"/>
  <c r="AR709"/>
  <c r="AQ692"/>
  <c r="AQ693"/>
  <c r="AQ694"/>
  <c r="AQ695"/>
  <c r="AQ696"/>
  <c r="AQ697"/>
  <c r="AQ698"/>
  <c r="AQ699"/>
  <c r="AQ700"/>
  <c r="AQ701"/>
  <c r="AQ691"/>
  <c r="AU671"/>
  <c r="AU672"/>
  <c r="AU673"/>
  <c r="AU674"/>
  <c r="AU675"/>
  <c r="AU676"/>
  <c r="AU677"/>
  <c r="AU678"/>
  <c r="AU679"/>
  <c r="AU680"/>
  <c r="AU670"/>
  <c r="AO523"/>
  <c r="AO524"/>
  <c r="AO525"/>
  <c r="AO526"/>
  <c r="AO527"/>
  <c r="AO528"/>
  <c r="AO529"/>
  <c r="AO530"/>
  <c r="AO531"/>
  <c r="AO532"/>
  <c r="AO533"/>
  <c r="AO534"/>
  <c r="AO535"/>
  <c r="AO536"/>
  <c r="AO537"/>
  <c r="AO538"/>
  <c r="AO539"/>
  <c r="AO540"/>
  <c r="AO541"/>
  <c r="AO542"/>
  <c r="AO543"/>
  <c r="AO522"/>
  <c r="AR502"/>
  <c r="AR503"/>
  <c r="AR504"/>
  <c r="AR505"/>
  <c r="AR506"/>
  <c r="AR507"/>
  <c r="AR508"/>
  <c r="AR509"/>
  <c r="AR510"/>
  <c r="AR511"/>
  <c r="AR512"/>
  <c r="AR513"/>
  <c r="AR514"/>
  <c r="AR515"/>
  <c r="AR516"/>
  <c r="AR517"/>
  <c r="AR518"/>
  <c r="AR519"/>
  <c r="AR520"/>
  <c r="AR521"/>
  <c r="AR522"/>
  <c r="AR501"/>
  <c r="AR452"/>
  <c r="AR453"/>
  <c r="AR454"/>
  <c r="AR455"/>
  <c r="AR456"/>
  <c r="AR457"/>
  <c r="AR458"/>
  <c r="AR459"/>
  <c r="AR460"/>
  <c r="AR461"/>
  <c r="AR462"/>
  <c r="AR463"/>
  <c r="AR464"/>
  <c r="AR465"/>
  <c r="AR466"/>
  <c r="AR467"/>
  <c r="AR468"/>
  <c r="AR469"/>
  <c r="AR470"/>
  <c r="AR471"/>
  <c r="AR472"/>
  <c r="AR45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11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49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46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41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8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39"/>
  <c r="O921" l="1"/>
</calcChain>
</file>

<file path=xl/sharedStrings.xml><?xml version="1.0" encoding="utf-8"?>
<sst xmlns="http://schemas.openxmlformats.org/spreadsheetml/2006/main" count="11" uniqueCount="9">
  <si>
    <t>Т ж</t>
  </si>
  <si>
    <t>Тстг</t>
  </si>
  <si>
    <t>q сумм</t>
  </si>
  <si>
    <t>Тстж</t>
  </si>
  <si>
    <t>Tж</t>
  </si>
  <si>
    <t>Тж</t>
  </si>
  <si>
    <t>Тст.г.</t>
  </si>
  <si>
    <t>Тст.ж.</t>
  </si>
  <si>
    <t>qсумм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</si>
</sst>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4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3" xfId="0" applyFont="1" applyBorder="1" applyAlignment="1">
      <alignment horizontal="right" wrapText="1"/>
    </xf>
    <xf numFmtId="165" fontId="0" fillId="0" borderId="0" xfId="0" applyNumberFormat="1"/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1" fontId="0" fillId="0" borderId="0" xfId="0" applyNumberFormat="1"/>
    <xf numFmtId="166" fontId="0" fillId="0" borderId="0" xfId="0" applyNumberFormat="1"/>
    <xf numFmtId="0" fontId="1" fillId="0" borderId="4" xfId="0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5" xfId="0" applyFill="1" applyBorder="1" applyAlignment="1">
      <alignment wrapText="1"/>
    </xf>
    <xf numFmtId="1" fontId="0" fillId="0" borderId="1" xfId="0" applyNumberFormat="1" applyBorder="1" applyAlignment="1">
      <alignment wrapText="1"/>
    </xf>
    <xf numFmtId="1" fontId="0" fillId="0" borderId="2" xfId="0" applyNumberFormat="1" applyBorder="1" applyAlignment="1">
      <alignment wrapText="1"/>
    </xf>
    <xf numFmtId="0" fontId="0" fillId="0" borderId="6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>
        <c:manualLayout>
          <c:layoutTarget val="inner"/>
          <c:xMode val="edge"/>
          <c:yMode val="edge"/>
          <c:x val="7.0599518810148781E-2"/>
          <c:y val="7.4548702245552642E-2"/>
          <c:w val="0.68378237095363059"/>
          <c:h val="0.79822543015456471"/>
        </c:manualLayout>
      </c:layout>
      <c:scatterChart>
        <c:scatterStyle val="smoothMarker"/>
        <c:ser>
          <c:idx val="0"/>
          <c:order val="0"/>
          <c:tx>
            <c:v>Конв.</c:v>
          </c:tx>
          <c:marker>
            <c:symbol val="none"/>
          </c:marker>
          <c:xVal>
            <c:numRef>
              <c:f>Лист1!$F$211:$F$246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xVal>
          <c:yVal>
            <c:numRef>
              <c:f>Лист1!$G$211:$G$246</c:f>
              <c:numCache>
                <c:formatCode>General</c:formatCode>
                <c:ptCount val="36"/>
                <c:pt idx="0">
                  <c:v>24.17</c:v>
                </c:pt>
                <c:pt idx="1">
                  <c:v>24.02</c:v>
                </c:pt>
                <c:pt idx="2">
                  <c:v>24.13</c:v>
                </c:pt>
                <c:pt idx="3">
                  <c:v>24.27</c:v>
                </c:pt>
                <c:pt idx="4">
                  <c:v>24.39</c:v>
                </c:pt>
                <c:pt idx="5">
                  <c:v>24.48</c:v>
                </c:pt>
                <c:pt idx="6">
                  <c:v>24.53</c:v>
                </c:pt>
                <c:pt idx="7">
                  <c:v>24.53</c:v>
                </c:pt>
                <c:pt idx="8">
                  <c:v>24.53</c:v>
                </c:pt>
                <c:pt idx="9">
                  <c:v>24.58</c:v>
                </c:pt>
                <c:pt idx="10">
                  <c:v>24.67</c:v>
                </c:pt>
                <c:pt idx="11">
                  <c:v>25</c:v>
                </c:pt>
                <c:pt idx="12">
                  <c:v>26.21</c:v>
                </c:pt>
                <c:pt idx="13">
                  <c:v>28.61</c:v>
                </c:pt>
                <c:pt idx="14">
                  <c:v>32.869999999999997</c:v>
                </c:pt>
                <c:pt idx="15">
                  <c:v>39.380000000000003</c:v>
                </c:pt>
                <c:pt idx="16">
                  <c:v>50.03</c:v>
                </c:pt>
                <c:pt idx="17">
                  <c:v>57.48</c:v>
                </c:pt>
                <c:pt idx="18">
                  <c:v>58.95</c:v>
                </c:pt>
                <c:pt idx="19">
                  <c:v>41.26</c:v>
                </c:pt>
                <c:pt idx="20">
                  <c:v>29.26</c:v>
                </c:pt>
                <c:pt idx="21">
                  <c:v>18.63</c:v>
                </c:pt>
                <c:pt idx="22">
                  <c:v>10.34</c:v>
                </c:pt>
                <c:pt idx="23">
                  <c:v>5.2229999999999999</c:v>
                </c:pt>
                <c:pt idx="24">
                  <c:v>1.7949999999999999</c:v>
                </c:pt>
                <c:pt idx="25">
                  <c:v>0.83899999999999997</c:v>
                </c:pt>
                <c:pt idx="26">
                  <c:v>0.497</c:v>
                </c:pt>
                <c:pt idx="27">
                  <c:v>0.33900000000000002</c:v>
                </c:pt>
                <c:pt idx="28">
                  <c:v>0.253</c:v>
                </c:pt>
                <c:pt idx="29">
                  <c:v>0.2</c:v>
                </c:pt>
                <c:pt idx="30">
                  <c:v>0.16300000000000001</c:v>
                </c:pt>
                <c:pt idx="31">
                  <c:v>0.13600000000000001</c:v>
                </c:pt>
                <c:pt idx="32">
                  <c:v>0.11799999999999999</c:v>
                </c:pt>
                <c:pt idx="33">
                  <c:v>0.105</c:v>
                </c:pt>
                <c:pt idx="34">
                  <c:v>9.5000000000000001E-2</c:v>
                </c:pt>
                <c:pt idx="35">
                  <c:v>8.6999999999999994E-2</c:v>
                </c:pt>
              </c:numCache>
            </c:numRef>
          </c:yVal>
          <c:smooth val="1"/>
        </c:ser>
        <c:ser>
          <c:idx val="1"/>
          <c:order val="1"/>
          <c:tx>
            <c:v>Лучист.</c:v>
          </c:tx>
          <c:marker>
            <c:symbol val="none"/>
          </c:marker>
          <c:xVal>
            <c:numRef>
              <c:f>Лист1!$F$211:$F$246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xVal>
          <c:yVal>
            <c:numRef>
              <c:f>Лист1!$H$211:$H$246</c:f>
              <c:numCache>
                <c:formatCode>General</c:formatCode>
                <c:ptCount val="36"/>
                <c:pt idx="0">
                  <c:v>0.47599999999999998</c:v>
                </c:pt>
                <c:pt idx="1">
                  <c:v>1.9039999999999999</c:v>
                </c:pt>
                <c:pt idx="2">
                  <c:v>1.9039999999999999</c:v>
                </c:pt>
                <c:pt idx="3">
                  <c:v>1.9039999999999999</c:v>
                </c:pt>
                <c:pt idx="4">
                  <c:v>1.9039999999999999</c:v>
                </c:pt>
                <c:pt idx="5">
                  <c:v>1.9039999999999999</c:v>
                </c:pt>
                <c:pt idx="6">
                  <c:v>1.9039999999999999</c:v>
                </c:pt>
                <c:pt idx="7">
                  <c:v>1.9039999999999999</c:v>
                </c:pt>
                <c:pt idx="8">
                  <c:v>1.9039999999999999</c:v>
                </c:pt>
                <c:pt idx="9">
                  <c:v>1.9039999999999999</c:v>
                </c:pt>
                <c:pt idx="10">
                  <c:v>1.9039999999999999</c:v>
                </c:pt>
                <c:pt idx="11">
                  <c:v>1.9039999999999999</c:v>
                </c:pt>
                <c:pt idx="12">
                  <c:v>1.9039999999999999</c:v>
                </c:pt>
                <c:pt idx="13">
                  <c:v>1.9039999999999999</c:v>
                </c:pt>
                <c:pt idx="14">
                  <c:v>1.9039999999999999</c:v>
                </c:pt>
                <c:pt idx="15">
                  <c:v>1.9039999999999999</c:v>
                </c:pt>
                <c:pt idx="16">
                  <c:v>1.639</c:v>
                </c:pt>
                <c:pt idx="17">
                  <c:v>1.238</c:v>
                </c:pt>
                <c:pt idx="18">
                  <c:v>0.95209999999999995</c:v>
                </c:pt>
                <c:pt idx="19">
                  <c:v>0.67349999999999999</c:v>
                </c:pt>
                <c:pt idx="20">
                  <c:v>0.46550000000000002</c:v>
                </c:pt>
                <c:pt idx="21">
                  <c:v>0.29720000000000002</c:v>
                </c:pt>
                <c:pt idx="22">
                  <c:v>0.16669999999999999</c:v>
                </c:pt>
                <c:pt idx="23">
                  <c:v>8.4900000000000003E-2</c:v>
                </c:pt>
                <c:pt idx="24">
                  <c:v>2.9700000000000001E-2</c:v>
                </c:pt>
                <c:pt idx="25">
                  <c:v>1.44E-2</c:v>
                </c:pt>
                <c:pt idx="26">
                  <c:v>8.8000000000000005E-3</c:v>
                </c:pt>
                <c:pt idx="27">
                  <c:v>6.1000000000000004E-3</c:v>
                </c:pt>
                <c:pt idx="28">
                  <c:v>4.5999999999999999E-3</c:v>
                </c:pt>
                <c:pt idx="29">
                  <c:v>3.7000000000000002E-3</c:v>
                </c:pt>
                <c:pt idx="30">
                  <c:v>3.0999999999999999E-3</c:v>
                </c:pt>
                <c:pt idx="31">
                  <c:v>2.5999999999999999E-3</c:v>
                </c:pt>
                <c:pt idx="32">
                  <c:v>2.2000000000000001E-3</c:v>
                </c:pt>
                <c:pt idx="33">
                  <c:v>2E-3</c:v>
                </c:pt>
                <c:pt idx="34">
                  <c:v>1.8E-3</c:v>
                </c:pt>
                <c:pt idx="35">
                  <c:v>1.6999999999999999E-3</c:v>
                </c:pt>
              </c:numCache>
            </c:numRef>
          </c:yVal>
          <c:smooth val="1"/>
        </c:ser>
        <c:ser>
          <c:idx val="2"/>
          <c:order val="2"/>
          <c:tx>
            <c:v>Сумм.</c:v>
          </c:tx>
          <c:marker>
            <c:symbol val="none"/>
          </c:marker>
          <c:xVal>
            <c:numRef>
              <c:f>Лист1!$F$211:$F$246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xVal>
          <c:yVal>
            <c:numRef>
              <c:f>Лист1!$I$211:$I$246</c:f>
              <c:numCache>
                <c:formatCode>General</c:formatCode>
                <c:ptCount val="36"/>
                <c:pt idx="0">
                  <c:v>24.646000000000001</c:v>
                </c:pt>
                <c:pt idx="1">
                  <c:v>25.923999999999999</c:v>
                </c:pt>
                <c:pt idx="2">
                  <c:v>26.033999999999999</c:v>
                </c:pt>
                <c:pt idx="3">
                  <c:v>26.173999999999999</c:v>
                </c:pt>
                <c:pt idx="4">
                  <c:v>26.294</c:v>
                </c:pt>
                <c:pt idx="5">
                  <c:v>26.384</c:v>
                </c:pt>
                <c:pt idx="6">
                  <c:v>26.434000000000001</c:v>
                </c:pt>
                <c:pt idx="7">
                  <c:v>26.434000000000001</c:v>
                </c:pt>
                <c:pt idx="8">
                  <c:v>26.434000000000001</c:v>
                </c:pt>
                <c:pt idx="9">
                  <c:v>26.483999999999998</c:v>
                </c:pt>
                <c:pt idx="10">
                  <c:v>26.574000000000002</c:v>
                </c:pt>
                <c:pt idx="11">
                  <c:v>26.904</c:v>
                </c:pt>
                <c:pt idx="12">
                  <c:v>28.114000000000001</c:v>
                </c:pt>
                <c:pt idx="13">
                  <c:v>30.513999999999999</c:v>
                </c:pt>
                <c:pt idx="14">
                  <c:v>34.774000000000001</c:v>
                </c:pt>
                <c:pt idx="15">
                  <c:v>41.284000000000006</c:v>
                </c:pt>
                <c:pt idx="16">
                  <c:v>51.669000000000004</c:v>
                </c:pt>
                <c:pt idx="17">
                  <c:v>58.717999999999996</c:v>
                </c:pt>
                <c:pt idx="18">
                  <c:v>59.902100000000004</c:v>
                </c:pt>
                <c:pt idx="19">
                  <c:v>41.933499999999995</c:v>
                </c:pt>
                <c:pt idx="20">
                  <c:v>29.7255</c:v>
                </c:pt>
                <c:pt idx="21">
                  <c:v>18.927199999999999</c:v>
                </c:pt>
                <c:pt idx="22">
                  <c:v>10.5067</c:v>
                </c:pt>
                <c:pt idx="23">
                  <c:v>5.3079000000000001</c:v>
                </c:pt>
                <c:pt idx="24">
                  <c:v>1.8247</c:v>
                </c:pt>
                <c:pt idx="25">
                  <c:v>0.85339999999999994</c:v>
                </c:pt>
                <c:pt idx="26">
                  <c:v>0.50580000000000003</c:v>
                </c:pt>
                <c:pt idx="27">
                  <c:v>0.34510000000000002</c:v>
                </c:pt>
                <c:pt idx="28">
                  <c:v>0.2576</c:v>
                </c:pt>
                <c:pt idx="29">
                  <c:v>0.20370000000000002</c:v>
                </c:pt>
                <c:pt idx="30">
                  <c:v>0.1661</c:v>
                </c:pt>
                <c:pt idx="31">
                  <c:v>0.1386</c:v>
                </c:pt>
                <c:pt idx="32">
                  <c:v>0.12019999999999999</c:v>
                </c:pt>
                <c:pt idx="33">
                  <c:v>0.107</c:v>
                </c:pt>
                <c:pt idx="34">
                  <c:v>9.6799999999999997E-2</c:v>
                </c:pt>
                <c:pt idx="35">
                  <c:v>8.8699999999999987E-2</c:v>
                </c:pt>
              </c:numCache>
            </c:numRef>
          </c:yVal>
          <c:smooth val="1"/>
        </c:ser>
        <c:axId val="71887104"/>
        <c:axId val="71708672"/>
      </c:scatterChart>
      <c:valAx>
        <c:axId val="71887104"/>
        <c:scaling>
          <c:orientation val="minMax"/>
        </c:scaling>
        <c:axPos val="b"/>
        <c:numFmt formatCode="General" sourceLinked="1"/>
        <c:tickLblPos val="nextTo"/>
        <c:crossAx val="71708672"/>
        <c:crosses val="autoZero"/>
        <c:crossBetween val="midCat"/>
      </c:valAx>
      <c:valAx>
        <c:axId val="71708672"/>
        <c:scaling>
          <c:orientation val="minMax"/>
        </c:scaling>
        <c:axPos val="l"/>
        <c:majorGridlines/>
        <c:numFmt formatCode="General" sourceLinked="1"/>
        <c:tickLblPos val="nextTo"/>
        <c:crossAx val="7188710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/>
      <c:scatterChart>
        <c:scatterStyle val="smoothMarker"/>
        <c:ser>
          <c:idx val="0"/>
          <c:order val="0"/>
          <c:spPr>
            <a:ln w="50800"/>
          </c:spPr>
          <c:marker>
            <c:symbol val="none"/>
          </c:marker>
          <c:xVal>
            <c:numRef>
              <c:f>Лист1!$AL$762:$AL$797</c:f>
              <c:numCache>
                <c:formatCode>General</c:formatCode>
                <c:ptCount val="3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0.182</c:v>
                </c:pt>
                <c:pt idx="19">
                  <c:v>0.19</c:v>
                </c:pt>
                <c:pt idx="20">
                  <c:v>0.2</c:v>
                </c:pt>
                <c:pt idx="21">
                  <c:v>0.21543999999999999</c:v>
                </c:pt>
                <c:pt idx="22">
                  <c:v>0.24088000000000001</c:v>
                </c:pt>
                <c:pt idx="23">
                  <c:v>0.28176000000000001</c:v>
                </c:pt>
                <c:pt idx="24">
                  <c:v>0.38228000000000001</c:v>
                </c:pt>
                <c:pt idx="25">
                  <c:v>0.49428</c:v>
                </c:pt>
                <c:pt idx="26">
                  <c:v>0.60628000000000004</c:v>
                </c:pt>
                <c:pt idx="27">
                  <c:v>0.71828000000000003</c:v>
                </c:pt>
                <c:pt idx="28">
                  <c:v>0.83028000000000002</c:v>
                </c:pt>
                <c:pt idx="29">
                  <c:v>0.94228000000000001</c:v>
                </c:pt>
                <c:pt idx="30">
                  <c:v>1.0542800000000001</c:v>
                </c:pt>
                <c:pt idx="31">
                  <c:v>1.16628</c:v>
                </c:pt>
                <c:pt idx="32">
                  <c:v>1.2782800000000001</c:v>
                </c:pt>
                <c:pt idx="33">
                  <c:v>1.39028</c:v>
                </c:pt>
                <c:pt idx="34">
                  <c:v>1.5022800000000001</c:v>
                </c:pt>
                <c:pt idx="35">
                  <c:v>1.6222799999999999</c:v>
                </c:pt>
              </c:numCache>
            </c:numRef>
          </c:xVal>
          <c:yVal>
            <c:numRef>
              <c:f>Лист1!$AM$762:$AM$797</c:f>
              <c:numCache>
                <c:formatCode>General</c:formatCode>
                <c:ptCount val="36"/>
                <c:pt idx="0">
                  <c:v>24.17</c:v>
                </c:pt>
                <c:pt idx="1">
                  <c:v>24.02</c:v>
                </c:pt>
                <c:pt idx="2">
                  <c:v>24.13</c:v>
                </c:pt>
                <c:pt idx="3">
                  <c:v>24.27</c:v>
                </c:pt>
                <c:pt idx="4">
                  <c:v>24.39</c:v>
                </c:pt>
                <c:pt idx="5">
                  <c:v>24.48</c:v>
                </c:pt>
                <c:pt idx="6">
                  <c:v>24.53</c:v>
                </c:pt>
                <c:pt idx="7">
                  <c:v>24.53</c:v>
                </c:pt>
                <c:pt idx="8">
                  <c:v>24.53</c:v>
                </c:pt>
                <c:pt idx="9">
                  <c:v>24.58</c:v>
                </c:pt>
                <c:pt idx="10">
                  <c:v>24.67</c:v>
                </c:pt>
                <c:pt idx="11">
                  <c:v>25</c:v>
                </c:pt>
                <c:pt idx="12">
                  <c:v>26.21</c:v>
                </c:pt>
                <c:pt idx="13">
                  <c:v>28.61</c:v>
                </c:pt>
                <c:pt idx="14">
                  <c:v>32.869999999999997</c:v>
                </c:pt>
                <c:pt idx="15">
                  <c:v>39.380000000000003</c:v>
                </c:pt>
                <c:pt idx="16">
                  <c:v>50.03</c:v>
                </c:pt>
                <c:pt idx="17">
                  <c:v>57.48</c:v>
                </c:pt>
                <c:pt idx="18">
                  <c:v>58.95</c:v>
                </c:pt>
                <c:pt idx="19">
                  <c:v>41.26</c:v>
                </c:pt>
                <c:pt idx="20">
                  <c:v>29.26</c:v>
                </c:pt>
                <c:pt idx="21">
                  <c:v>18.63</c:v>
                </c:pt>
                <c:pt idx="22">
                  <c:v>10.34</c:v>
                </c:pt>
                <c:pt idx="23">
                  <c:v>5.2229999999999999</c:v>
                </c:pt>
                <c:pt idx="24">
                  <c:v>1.7949999999999999</c:v>
                </c:pt>
                <c:pt idx="25">
                  <c:v>0.83899999999999997</c:v>
                </c:pt>
                <c:pt idx="26">
                  <c:v>0.497</c:v>
                </c:pt>
                <c:pt idx="27">
                  <c:v>0.33900000000000002</c:v>
                </c:pt>
                <c:pt idx="28">
                  <c:v>0.253</c:v>
                </c:pt>
                <c:pt idx="29">
                  <c:v>0.2</c:v>
                </c:pt>
                <c:pt idx="30">
                  <c:v>0.16300000000000001</c:v>
                </c:pt>
                <c:pt idx="31">
                  <c:v>0.13600000000000001</c:v>
                </c:pt>
                <c:pt idx="32">
                  <c:v>0.11799999999999999</c:v>
                </c:pt>
                <c:pt idx="33">
                  <c:v>0.105</c:v>
                </c:pt>
                <c:pt idx="34">
                  <c:v>9.5000000000000001E-2</c:v>
                </c:pt>
                <c:pt idx="35">
                  <c:v>8.6999999999999994E-2</c:v>
                </c:pt>
              </c:numCache>
            </c:numRef>
          </c:yVal>
          <c:smooth val="1"/>
        </c:ser>
        <c:ser>
          <c:idx val="1"/>
          <c:order val="1"/>
          <c:spPr>
            <a:ln w="50800"/>
          </c:spPr>
          <c:marker>
            <c:symbol val="none"/>
          </c:marker>
          <c:xVal>
            <c:numRef>
              <c:f>Лист1!$AL$762:$AL$797</c:f>
              <c:numCache>
                <c:formatCode>General</c:formatCode>
                <c:ptCount val="3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0.182</c:v>
                </c:pt>
                <c:pt idx="19">
                  <c:v>0.19</c:v>
                </c:pt>
                <c:pt idx="20">
                  <c:v>0.2</c:v>
                </c:pt>
                <c:pt idx="21">
                  <c:v>0.21543999999999999</c:v>
                </c:pt>
                <c:pt idx="22">
                  <c:v>0.24088000000000001</c:v>
                </c:pt>
                <c:pt idx="23">
                  <c:v>0.28176000000000001</c:v>
                </c:pt>
                <c:pt idx="24">
                  <c:v>0.38228000000000001</c:v>
                </c:pt>
                <c:pt idx="25">
                  <c:v>0.49428</c:v>
                </c:pt>
                <c:pt idx="26">
                  <c:v>0.60628000000000004</c:v>
                </c:pt>
                <c:pt idx="27">
                  <c:v>0.71828000000000003</c:v>
                </c:pt>
                <c:pt idx="28">
                  <c:v>0.83028000000000002</c:v>
                </c:pt>
                <c:pt idx="29">
                  <c:v>0.94228000000000001</c:v>
                </c:pt>
                <c:pt idx="30">
                  <c:v>1.0542800000000001</c:v>
                </c:pt>
                <c:pt idx="31">
                  <c:v>1.16628</c:v>
                </c:pt>
                <c:pt idx="32">
                  <c:v>1.2782800000000001</c:v>
                </c:pt>
                <c:pt idx="33">
                  <c:v>1.39028</c:v>
                </c:pt>
                <c:pt idx="34">
                  <c:v>1.5022800000000001</c:v>
                </c:pt>
                <c:pt idx="35">
                  <c:v>1.6222799999999999</c:v>
                </c:pt>
              </c:numCache>
            </c:numRef>
          </c:xVal>
          <c:yVal>
            <c:numRef>
              <c:f>Лист1!$AN$762:$AN$797</c:f>
              <c:numCache>
                <c:formatCode>General</c:formatCode>
                <c:ptCount val="36"/>
                <c:pt idx="0">
                  <c:v>0.47599999999999998</c:v>
                </c:pt>
                <c:pt idx="1">
                  <c:v>1.9039999999999999</c:v>
                </c:pt>
                <c:pt idx="2">
                  <c:v>1.9039999999999999</c:v>
                </c:pt>
                <c:pt idx="3">
                  <c:v>1.9039999999999999</c:v>
                </c:pt>
                <c:pt idx="4">
                  <c:v>1.9039999999999999</c:v>
                </c:pt>
                <c:pt idx="5">
                  <c:v>1.9039999999999999</c:v>
                </c:pt>
                <c:pt idx="6">
                  <c:v>1.9039999999999999</c:v>
                </c:pt>
                <c:pt idx="7">
                  <c:v>1.9039999999999999</c:v>
                </c:pt>
                <c:pt idx="8">
                  <c:v>1.9039999999999999</c:v>
                </c:pt>
                <c:pt idx="9">
                  <c:v>1.9039999999999999</c:v>
                </c:pt>
                <c:pt idx="10">
                  <c:v>1.9039999999999999</c:v>
                </c:pt>
                <c:pt idx="11">
                  <c:v>1.9039999999999999</c:v>
                </c:pt>
                <c:pt idx="12">
                  <c:v>1.9039999999999999</c:v>
                </c:pt>
                <c:pt idx="13">
                  <c:v>1.9039999999999999</c:v>
                </c:pt>
                <c:pt idx="14">
                  <c:v>1.9039999999999999</c:v>
                </c:pt>
                <c:pt idx="15">
                  <c:v>1.9039999999999999</c:v>
                </c:pt>
                <c:pt idx="16">
                  <c:v>1.639</c:v>
                </c:pt>
                <c:pt idx="17">
                  <c:v>1.238</c:v>
                </c:pt>
                <c:pt idx="18">
                  <c:v>0.95209999999999995</c:v>
                </c:pt>
                <c:pt idx="19">
                  <c:v>0.67349999999999999</c:v>
                </c:pt>
                <c:pt idx="20">
                  <c:v>0.46550000000000002</c:v>
                </c:pt>
                <c:pt idx="21">
                  <c:v>0.29720000000000002</c:v>
                </c:pt>
                <c:pt idx="22">
                  <c:v>0.16669999999999999</c:v>
                </c:pt>
                <c:pt idx="23">
                  <c:v>8.4900000000000003E-2</c:v>
                </c:pt>
                <c:pt idx="24">
                  <c:v>2.9700000000000001E-2</c:v>
                </c:pt>
                <c:pt idx="25">
                  <c:v>1.44E-2</c:v>
                </c:pt>
                <c:pt idx="26">
                  <c:v>8.8000000000000005E-3</c:v>
                </c:pt>
                <c:pt idx="27">
                  <c:v>6.1000000000000004E-3</c:v>
                </c:pt>
                <c:pt idx="28">
                  <c:v>4.5999999999999999E-3</c:v>
                </c:pt>
                <c:pt idx="29">
                  <c:v>3.7000000000000002E-3</c:v>
                </c:pt>
                <c:pt idx="30">
                  <c:v>3.0999999999999999E-3</c:v>
                </c:pt>
                <c:pt idx="31">
                  <c:v>2.5999999999999999E-3</c:v>
                </c:pt>
                <c:pt idx="32">
                  <c:v>2.2000000000000001E-3</c:v>
                </c:pt>
                <c:pt idx="33">
                  <c:v>2E-3</c:v>
                </c:pt>
                <c:pt idx="34">
                  <c:v>1.8E-3</c:v>
                </c:pt>
                <c:pt idx="35">
                  <c:v>1.6999999999999999E-3</c:v>
                </c:pt>
              </c:numCache>
            </c:numRef>
          </c:yVal>
          <c:smooth val="1"/>
        </c:ser>
        <c:ser>
          <c:idx val="2"/>
          <c:order val="2"/>
          <c:spPr>
            <a:ln w="50800"/>
          </c:spPr>
          <c:marker>
            <c:symbol val="none"/>
          </c:marker>
          <c:xVal>
            <c:numRef>
              <c:f>Лист1!$AL$762:$AL$797</c:f>
              <c:numCache>
                <c:formatCode>General</c:formatCode>
                <c:ptCount val="3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0.182</c:v>
                </c:pt>
                <c:pt idx="19">
                  <c:v>0.19</c:v>
                </c:pt>
                <c:pt idx="20">
                  <c:v>0.2</c:v>
                </c:pt>
                <c:pt idx="21">
                  <c:v>0.21543999999999999</c:v>
                </c:pt>
                <c:pt idx="22">
                  <c:v>0.24088000000000001</c:v>
                </c:pt>
                <c:pt idx="23">
                  <c:v>0.28176000000000001</c:v>
                </c:pt>
                <c:pt idx="24">
                  <c:v>0.38228000000000001</c:v>
                </c:pt>
                <c:pt idx="25">
                  <c:v>0.49428</c:v>
                </c:pt>
                <c:pt idx="26">
                  <c:v>0.60628000000000004</c:v>
                </c:pt>
                <c:pt idx="27">
                  <c:v>0.71828000000000003</c:v>
                </c:pt>
                <c:pt idx="28">
                  <c:v>0.83028000000000002</c:v>
                </c:pt>
                <c:pt idx="29">
                  <c:v>0.94228000000000001</c:v>
                </c:pt>
                <c:pt idx="30">
                  <c:v>1.0542800000000001</c:v>
                </c:pt>
                <c:pt idx="31">
                  <c:v>1.16628</c:v>
                </c:pt>
                <c:pt idx="32">
                  <c:v>1.2782800000000001</c:v>
                </c:pt>
                <c:pt idx="33">
                  <c:v>1.39028</c:v>
                </c:pt>
                <c:pt idx="34">
                  <c:v>1.5022800000000001</c:v>
                </c:pt>
                <c:pt idx="35">
                  <c:v>1.6222799999999999</c:v>
                </c:pt>
              </c:numCache>
            </c:numRef>
          </c:xVal>
          <c:yVal>
            <c:numRef>
              <c:f>Лист1!$AO$762:$AO$797</c:f>
              <c:numCache>
                <c:formatCode>General</c:formatCode>
                <c:ptCount val="36"/>
                <c:pt idx="0">
                  <c:v>27.110600000000002</c:v>
                </c:pt>
                <c:pt idx="1">
                  <c:v>28.516400000000001</c:v>
                </c:pt>
                <c:pt idx="2">
                  <c:v>28.6374</c:v>
                </c:pt>
                <c:pt idx="3">
                  <c:v>28.791400000000003</c:v>
                </c:pt>
                <c:pt idx="4">
                  <c:v>28.923400000000004</c:v>
                </c:pt>
                <c:pt idx="5">
                  <c:v>29.022400000000001</c:v>
                </c:pt>
                <c:pt idx="6">
                  <c:v>29.077400000000004</c:v>
                </c:pt>
                <c:pt idx="7">
                  <c:v>29.077400000000004</c:v>
                </c:pt>
                <c:pt idx="8">
                  <c:v>29.077400000000004</c:v>
                </c:pt>
                <c:pt idx="9">
                  <c:v>29.132400000000001</c:v>
                </c:pt>
                <c:pt idx="10">
                  <c:v>29.231400000000004</c:v>
                </c:pt>
                <c:pt idx="11">
                  <c:v>29.594400000000004</c:v>
                </c:pt>
                <c:pt idx="12">
                  <c:v>30.925400000000003</c:v>
                </c:pt>
                <c:pt idx="13">
                  <c:v>33.565400000000004</c:v>
                </c:pt>
                <c:pt idx="14">
                  <c:v>38.251400000000004</c:v>
                </c:pt>
                <c:pt idx="15">
                  <c:v>45.412400000000012</c:v>
                </c:pt>
                <c:pt idx="16">
                  <c:v>56.835900000000009</c:v>
                </c:pt>
                <c:pt idx="17">
                  <c:v>59.30518</c:v>
                </c:pt>
                <c:pt idx="18">
                  <c:v>59.902100000000004</c:v>
                </c:pt>
                <c:pt idx="19">
                  <c:v>54.513549999999995</c:v>
                </c:pt>
                <c:pt idx="20">
                  <c:v>38.643149999999999</c:v>
                </c:pt>
                <c:pt idx="21">
                  <c:v>24.605360000000001</c:v>
                </c:pt>
                <c:pt idx="22">
                  <c:v>12.292838999999999</c:v>
                </c:pt>
                <c:pt idx="23">
                  <c:v>6.2102429999999993</c:v>
                </c:pt>
                <c:pt idx="24">
                  <c:v>2.1348989999999999</c:v>
                </c:pt>
                <c:pt idx="25">
                  <c:v>0.99847799999999987</c:v>
                </c:pt>
                <c:pt idx="26">
                  <c:v>0.59178600000000003</c:v>
                </c:pt>
                <c:pt idx="27">
                  <c:v>0.40376699999999999</c:v>
                </c:pt>
                <c:pt idx="28">
                  <c:v>0.30139199999999999</c:v>
                </c:pt>
                <c:pt idx="29">
                  <c:v>0.23832900000000001</c:v>
                </c:pt>
                <c:pt idx="30">
                  <c:v>0.19433699999999998</c:v>
                </c:pt>
                <c:pt idx="31">
                  <c:v>0.162162</c:v>
                </c:pt>
                <c:pt idx="32">
                  <c:v>0.14063399999999998</c:v>
                </c:pt>
                <c:pt idx="33">
                  <c:v>0.12519</c:v>
                </c:pt>
                <c:pt idx="34">
                  <c:v>0.113256</c:v>
                </c:pt>
                <c:pt idx="35">
                  <c:v>0.10377899999999998</c:v>
                </c:pt>
              </c:numCache>
            </c:numRef>
          </c:yVal>
          <c:smooth val="1"/>
        </c:ser>
        <c:dLbls>
          <c:dLblPos val="r"/>
        </c:dLbls>
        <c:axId val="71738112"/>
        <c:axId val="71739648"/>
      </c:scatterChart>
      <c:valAx>
        <c:axId val="71738112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txPr>
          <a:bodyPr/>
          <a:lstStyle/>
          <a:p>
            <a:pPr>
              <a:defRPr sz="1800" baseline="0"/>
            </a:pPr>
            <a:endParaRPr lang="ru-RU"/>
          </a:p>
        </c:txPr>
        <c:crossAx val="71739648"/>
        <c:crosses val="autoZero"/>
        <c:crossBetween val="midCat"/>
      </c:valAx>
      <c:valAx>
        <c:axId val="7173964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71738112"/>
        <c:crosses val="autoZero"/>
        <c:crossBetween val="midCat"/>
      </c:valAx>
    </c:plotArea>
    <c:legend>
      <c:legendPos val="r"/>
      <c:layout/>
    </c:legend>
    <c:plotVisOnly val="1"/>
  </c:chart>
  <c:txPr>
    <a:bodyPr/>
    <a:lstStyle/>
    <a:p>
      <a:pPr>
        <a:defRPr sz="2000" baseline="0"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xVal>
            <c:numRef>
              <c:f>Лист1!$B$1001:$B$1035</c:f>
              <c:numCache>
                <c:formatCode>General</c:formatCode>
                <c:ptCount val="3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0.182</c:v>
                </c:pt>
                <c:pt idx="18">
                  <c:v>0.19</c:v>
                </c:pt>
                <c:pt idx="19">
                  <c:v>0.2</c:v>
                </c:pt>
                <c:pt idx="20">
                  <c:v>0.21543999999999999</c:v>
                </c:pt>
                <c:pt idx="21">
                  <c:v>0.24088000000000001</c:v>
                </c:pt>
                <c:pt idx="22">
                  <c:v>0.28176000000000001</c:v>
                </c:pt>
                <c:pt idx="23">
                  <c:v>0.38228000000000001</c:v>
                </c:pt>
                <c:pt idx="24">
                  <c:v>0.49428</c:v>
                </c:pt>
                <c:pt idx="25">
                  <c:v>0.60628000000000004</c:v>
                </c:pt>
                <c:pt idx="26">
                  <c:v>0.71828000000000003</c:v>
                </c:pt>
                <c:pt idx="27">
                  <c:v>0.83028000000000002</c:v>
                </c:pt>
                <c:pt idx="28">
                  <c:v>0.94228000000000001</c:v>
                </c:pt>
                <c:pt idx="29">
                  <c:v>1.0542800000000001</c:v>
                </c:pt>
                <c:pt idx="30">
                  <c:v>1.16628</c:v>
                </c:pt>
                <c:pt idx="31">
                  <c:v>1.2782800000000001</c:v>
                </c:pt>
                <c:pt idx="32">
                  <c:v>1.39028</c:v>
                </c:pt>
                <c:pt idx="33">
                  <c:v>1.5022800000000001</c:v>
                </c:pt>
                <c:pt idx="34">
                  <c:v>1.6222799999999999</c:v>
                </c:pt>
              </c:numCache>
            </c:numRef>
          </c:xVal>
          <c:yVal>
            <c:numRef>
              <c:f>Лист1!$C$1001:$C$1035</c:f>
              <c:numCache>
                <c:formatCode>General</c:formatCode>
                <c:ptCount val="35"/>
                <c:pt idx="0">
                  <c:v>223</c:v>
                </c:pt>
                <c:pt idx="1">
                  <c:v>218</c:v>
                </c:pt>
                <c:pt idx="2">
                  <c:v>213</c:v>
                </c:pt>
                <c:pt idx="3">
                  <c:v>208</c:v>
                </c:pt>
                <c:pt idx="4">
                  <c:v>203</c:v>
                </c:pt>
                <c:pt idx="5">
                  <c:v>198</c:v>
                </c:pt>
                <c:pt idx="6">
                  <c:v>194</c:v>
                </c:pt>
                <c:pt idx="7">
                  <c:v>189</c:v>
                </c:pt>
                <c:pt idx="8">
                  <c:v>185</c:v>
                </c:pt>
                <c:pt idx="9">
                  <c:v>180</c:v>
                </c:pt>
                <c:pt idx="10">
                  <c:v>176</c:v>
                </c:pt>
                <c:pt idx="11">
                  <c:v>171</c:v>
                </c:pt>
                <c:pt idx="12">
                  <c:v>166</c:v>
                </c:pt>
                <c:pt idx="13">
                  <c:v>160</c:v>
                </c:pt>
                <c:pt idx="14">
                  <c:v>154</c:v>
                </c:pt>
                <c:pt idx="15">
                  <c:v>147</c:v>
                </c:pt>
                <c:pt idx="16">
                  <c:v>139</c:v>
                </c:pt>
                <c:pt idx="17">
                  <c:v>132</c:v>
                </c:pt>
                <c:pt idx="18">
                  <c:v>125</c:v>
                </c:pt>
                <c:pt idx="19">
                  <c:v>119</c:v>
                </c:pt>
                <c:pt idx="20">
                  <c:v>110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Лист1!$B$1001:$B$1035</c:f>
              <c:numCache>
                <c:formatCode>General</c:formatCode>
                <c:ptCount val="3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0.182</c:v>
                </c:pt>
                <c:pt idx="18">
                  <c:v>0.19</c:v>
                </c:pt>
                <c:pt idx="19">
                  <c:v>0.2</c:v>
                </c:pt>
                <c:pt idx="20">
                  <c:v>0.21543999999999999</c:v>
                </c:pt>
                <c:pt idx="21">
                  <c:v>0.24088000000000001</c:v>
                </c:pt>
                <c:pt idx="22">
                  <c:v>0.28176000000000001</c:v>
                </c:pt>
                <c:pt idx="23">
                  <c:v>0.38228000000000001</c:v>
                </c:pt>
                <c:pt idx="24">
                  <c:v>0.49428</c:v>
                </c:pt>
                <c:pt idx="25">
                  <c:v>0.60628000000000004</c:v>
                </c:pt>
                <c:pt idx="26">
                  <c:v>0.71828000000000003</c:v>
                </c:pt>
                <c:pt idx="27">
                  <c:v>0.83028000000000002</c:v>
                </c:pt>
                <c:pt idx="28">
                  <c:v>0.94228000000000001</c:v>
                </c:pt>
                <c:pt idx="29">
                  <c:v>1.0542800000000001</c:v>
                </c:pt>
                <c:pt idx="30">
                  <c:v>1.16628</c:v>
                </c:pt>
                <c:pt idx="31">
                  <c:v>1.2782800000000001</c:v>
                </c:pt>
                <c:pt idx="32">
                  <c:v>1.39028</c:v>
                </c:pt>
                <c:pt idx="33">
                  <c:v>1.5022800000000001</c:v>
                </c:pt>
                <c:pt idx="34">
                  <c:v>1.6222799999999999</c:v>
                </c:pt>
              </c:numCache>
            </c:numRef>
          </c:xVal>
          <c:yVal>
            <c:numRef>
              <c:f>Лист1!$D$1001:$D$1035</c:f>
              <c:numCache>
                <c:formatCode>General</c:formatCode>
                <c:ptCount val="35"/>
                <c:pt idx="20">
                  <c:v>228.8</c:v>
                </c:pt>
                <c:pt idx="21">
                  <c:v>233.4</c:v>
                </c:pt>
                <c:pt idx="22">
                  <c:v>241.2</c:v>
                </c:pt>
                <c:pt idx="23">
                  <c:v>251.9</c:v>
                </c:pt>
                <c:pt idx="24">
                  <c:v>276.60000000000002</c:v>
                </c:pt>
                <c:pt idx="25">
                  <c:v>287.8</c:v>
                </c:pt>
                <c:pt idx="26">
                  <c:v>295.5</c:v>
                </c:pt>
                <c:pt idx="27">
                  <c:v>306.2</c:v>
                </c:pt>
                <c:pt idx="28">
                  <c:v>304.2</c:v>
                </c:pt>
                <c:pt idx="29">
                  <c:v>306.8</c:v>
                </c:pt>
                <c:pt idx="30">
                  <c:v>312.7</c:v>
                </c:pt>
              </c:numCache>
            </c:numRef>
          </c:yVal>
          <c:smooth val="1"/>
        </c:ser>
        <c:axId val="72485504"/>
        <c:axId val="72495488"/>
      </c:scatterChart>
      <c:valAx>
        <c:axId val="72485504"/>
        <c:scaling>
          <c:orientation val="minMax"/>
        </c:scaling>
        <c:axPos val="b"/>
        <c:numFmt formatCode="General" sourceLinked="1"/>
        <c:tickLblPos val="nextTo"/>
        <c:crossAx val="72495488"/>
        <c:crosses val="autoZero"/>
        <c:crossBetween val="midCat"/>
      </c:valAx>
      <c:valAx>
        <c:axId val="72495488"/>
        <c:scaling>
          <c:orientation val="minMax"/>
        </c:scaling>
        <c:axPos val="l"/>
        <c:majorGridlines/>
        <c:numFmt formatCode="General" sourceLinked="1"/>
        <c:tickLblPos val="nextTo"/>
        <c:crossAx val="7248550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smoothMarker"/>
        <c:ser>
          <c:idx val="0"/>
          <c:order val="0"/>
          <c:tx>
            <c:v>Тж</c:v>
          </c:tx>
          <c:marker>
            <c:symbol val="none"/>
          </c:marker>
          <c:xVal>
            <c:numRef>
              <c:f>Лист1!$A$900:$A$935</c:f>
              <c:numCache>
                <c:formatCode>General</c:formatCode>
                <c:ptCount val="3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0.182</c:v>
                </c:pt>
                <c:pt idx="19">
                  <c:v>0.19</c:v>
                </c:pt>
                <c:pt idx="20">
                  <c:v>0.2</c:v>
                </c:pt>
                <c:pt idx="21">
                  <c:v>0.21543999999999999</c:v>
                </c:pt>
                <c:pt idx="22">
                  <c:v>0.24088000000000001</c:v>
                </c:pt>
                <c:pt idx="23">
                  <c:v>0.28176000000000001</c:v>
                </c:pt>
                <c:pt idx="24">
                  <c:v>0.38228000000000001</c:v>
                </c:pt>
                <c:pt idx="25">
                  <c:v>0.49428</c:v>
                </c:pt>
                <c:pt idx="26">
                  <c:v>0.60628000000000004</c:v>
                </c:pt>
                <c:pt idx="27">
                  <c:v>0.71828000000000003</c:v>
                </c:pt>
                <c:pt idx="28">
                  <c:v>0.83028000000000002</c:v>
                </c:pt>
                <c:pt idx="29">
                  <c:v>0.94228000000000001</c:v>
                </c:pt>
                <c:pt idx="30">
                  <c:v>1.0542800000000001</c:v>
                </c:pt>
                <c:pt idx="31">
                  <c:v>1.16628</c:v>
                </c:pt>
                <c:pt idx="32">
                  <c:v>1.2782800000000001</c:v>
                </c:pt>
                <c:pt idx="33">
                  <c:v>1.39028</c:v>
                </c:pt>
                <c:pt idx="34">
                  <c:v>1.5022800000000001</c:v>
                </c:pt>
                <c:pt idx="35">
                  <c:v>1.6222799999999999</c:v>
                </c:pt>
              </c:numCache>
            </c:numRef>
          </c:xVal>
          <c:yVal>
            <c:numRef>
              <c:f>Лист1!$B$900:$B$935</c:f>
              <c:numCache>
                <c:formatCode>General</c:formatCode>
                <c:ptCount val="36"/>
                <c:pt idx="0">
                  <c:v>229</c:v>
                </c:pt>
                <c:pt idx="1">
                  <c:v>223</c:v>
                </c:pt>
                <c:pt idx="2">
                  <c:v>218</c:v>
                </c:pt>
                <c:pt idx="3">
                  <c:v>213</c:v>
                </c:pt>
                <c:pt idx="4">
                  <c:v>208</c:v>
                </c:pt>
                <c:pt idx="5">
                  <c:v>203</c:v>
                </c:pt>
                <c:pt idx="6">
                  <c:v>198</c:v>
                </c:pt>
                <c:pt idx="7">
                  <c:v>194</c:v>
                </c:pt>
                <c:pt idx="8">
                  <c:v>189</c:v>
                </c:pt>
                <c:pt idx="9">
                  <c:v>185</c:v>
                </c:pt>
                <c:pt idx="10">
                  <c:v>180</c:v>
                </c:pt>
                <c:pt idx="11">
                  <c:v>176</c:v>
                </c:pt>
                <c:pt idx="12">
                  <c:v>171</c:v>
                </c:pt>
                <c:pt idx="13">
                  <c:v>166</c:v>
                </c:pt>
                <c:pt idx="14">
                  <c:v>160</c:v>
                </c:pt>
                <c:pt idx="15">
                  <c:v>154</c:v>
                </c:pt>
                <c:pt idx="16">
                  <c:v>147</c:v>
                </c:pt>
                <c:pt idx="17">
                  <c:v>139</c:v>
                </c:pt>
                <c:pt idx="18">
                  <c:v>132</c:v>
                </c:pt>
                <c:pt idx="19">
                  <c:v>125</c:v>
                </c:pt>
                <c:pt idx="20">
                  <c:v>119</c:v>
                </c:pt>
                <c:pt idx="21">
                  <c:v>110</c:v>
                </c:pt>
              </c:numCache>
            </c:numRef>
          </c:yVal>
          <c:smooth val="1"/>
        </c:ser>
        <c:ser>
          <c:idx val="1"/>
          <c:order val="1"/>
          <c:tx>
            <c:v>Тж</c:v>
          </c:tx>
          <c:marker>
            <c:symbol val="none"/>
          </c:marker>
          <c:xVal>
            <c:numRef>
              <c:f>Лист1!$A$900:$A$935</c:f>
              <c:numCache>
                <c:formatCode>General</c:formatCode>
                <c:ptCount val="3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0.182</c:v>
                </c:pt>
                <c:pt idx="19">
                  <c:v>0.19</c:v>
                </c:pt>
                <c:pt idx="20">
                  <c:v>0.2</c:v>
                </c:pt>
                <c:pt idx="21">
                  <c:v>0.21543999999999999</c:v>
                </c:pt>
                <c:pt idx="22">
                  <c:v>0.24088000000000001</c:v>
                </c:pt>
                <c:pt idx="23">
                  <c:v>0.28176000000000001</c:v>
                </c:pt>
                <c:pt idx="24">
                  <c:v>0.38228000000000001</c:v>
                </c:pt>
                <c:pt idx="25">
                  <c:v>0.49428</c:v>
                </c:pt>
                <c:pt idx="26">
                  <c:v>0.60628000000000004</c:v>
                </c:pt>
                <c:pt idx="27">
                  <c:v>0.71828000000000003</c:v>
                </c:pt>
                <c:pt idx="28">
                  <c:v>0.83028000000000002</c:v>
                </c:pt>
                <c:pt idx="29">
                  <c:v>0.94228000000000001</c:v>
                </c:pt>
                <c:pt idx="30">
                  <c:v>1.0542800000000001</c:v>
                </c:pt>
                <c:pt idx="31">
                  <c:v>1.16628</c:v>
                </c:pt>
                <c:pt idx="32">
                  <c:v>1.2782800000000001</c:v>
                </c:pt>
                <c:pt idx="33">
                  <c:v>1.39028</c:v>
                </c:pt>
                <c:pt idx="34">
                  <c:v>1.5022800000000001</c:v>
                </c:pt>
                <c:pt idx="35">
                  <c:v>1.6222799999999999</c:v>
                </c:pt>
              </c:numCache>
            </c:numRef>
          </c:xVal>
          <c:yVal>
            <c:numRef>
              <c:f>Лист1!$C$900:$C$935</c:f>
              <c:numCache>
                <c:formatCode>General</c:formatCode>
                <c:ptCount val="36"/>
                <c:pt idx="21">
                  <c:v>228.8</c:v>
                </c:pt>
                <c:pt idx="22">
                  <c:v>233.4</c:v>
                </c:pt>
                <c:pt idx="23">
                  <c:v>241.2</c:v>
                </c:pt>
                <c:pt idx="24">
                  <c:v>251.9</c:v>
                </c:pt>
                <c:pt idx="25">
                  <c:v>276.60000000000002</c:v>
                </c:pt>
                <c:pt idx="26">
                  <c:v>287.8</c:v>
                </c:pt>
                <c:pt idx="27">
                  <c:v>295.5</c:v>
                </c:pt>
                <c:pt idx="28">
                  <c:v>300.60000000000002</c:v>
                </c:pt>
                <c:pt idx="29">
                  <c:v>304.2</c:v>
                </c:pt>
                <c:pt idx="30">
                  <c:v>306.8</c:v>
                </c:pt>
                <c:pt idx="31">
                  <c:v>312.7</c:v>
                </c:pt>
              </c:numCache>
            </c:numRef>
          </c:yVal>
          <c:smooth val="1"/>
        </c:ser>
        <c:ser>
          <c:idx val="2"/>
          <c:order val="2"/>
          <c:tx>
            <c:v>Тст.г.</c:v>
          </c:tx>
          <c:marker>
            <c:symbol val="none"/>
          </c:marker>
          <c:xVal>
            <c:numRef>
              <c:f>Лист1!$A$900:$A$935</c:f>
              <c:numCache>
                <c:formatCode>General</c:formatCode>
                <c:ptCount val="3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0.182</c:v>
                </c:pt>
                <c:pt idx="19">
                  <c:v>0.19</c:v>
                </c:pt>
                <c:pt idx="20">
                  <c:v>0.2</c:v>
                </c:pt>
                <c:pt idx="21">
                  <c:v>0.21543999999999999</c:v>
                </c:pt>
                <c:pt idx="22">
                  <c:v>0.24088000000000001</c:v>
                </c:pt>
                <c:pt idx="23">
                  <c:v>0.28176000000000001</c:v>
                </c:pt>
                <c:pt idx="24">
                  <c:v>0.38228000000000001</c:v>
                </c:pt>
                <c:pt idx="25">
                  <c:v>0.49428</c:v>
                </c:pt>
                <c:pt idx="26">
                  <c:v>0.60628000000000004</c:v>
                </c:pt>
                <c:pt idx="27">
                  <c:v>0.71828000000000003</c:v>
                </c:pt>
                <c:pt idx="28">
                  <c:v>0.83028000000000002</c:v>
                </c:pt>
                <c:pt idx="29">
                  <c:v>0.94228000000000001</c:v>
                </c:pt>
                <c:pt idx="30">
                  <c:v>1.0542800000000001</c:v>
                </c:pt>
                <c:pt idx="31">
                  <c:v>1.16628</c:v>
                </c:pt>
                <c:pt idx="32">
                  <c:v>1.2782800000000001</c:v>
                </c:pt>
                <c:pt idx="33">
                  <c:v>1.39028</c:v>
                </c:pt>
                <c:pt idx="34">
                  <c:v>1.5022800000000001</c:v>
                </c:pt>
                <c:pt idx="35">
                  <c:v>1.6222799999999999</c:v>
                </c:pt>
              </c:numCache>
            </c:numRef>
          </c:xVal>
          <c:yVal>
            <c:numRef>
              <c:f>Лист1!$D$900:$D$935</c:f>
              <c:numCache>
                <c:formatCode>General</c:formatCode>
                <c:ptCount val="36"/>
                <c:pt idx="0">
                  <c:v>626</c:v>
                </c:pt>
                <c:pt idx="1">
                  <c:v>637</c:v>
                </c:pt>
                <c:pt idx="2">
                  <c:v>627</c:v>
                </c:pt>
                <c:pt idx="3">
                  <c:v>616</c:v>
                </c:pt>
                <c:pt idx="4">
                  <c:v>607</c:v>
                </c:pt>
                <c:pt idx="5">
                  <c:v>601</c:v>
                </c:pt>
                <c:pt idx="6">
                  <c:v>600</c:v>
                </c:pt>
                <c:pt idx="7">
                  <c:v>601</c:v>
                </c:pt>
                <c:pt idx="8">
                  <c:v>599</c:v>
                </c:pt>
                <c:pt idx="9">
                  <c:v>592</c:v>
                </c:pt>
                <c:pt idx="10">
                  <c:v>584</c:v>
                </c:pt>
                <c:pt idx="11">
                  <c:v>582</c:v>
                </c:pt>
                <c:pt idx="12">
                  <c:v>587</c:v>
                </c:pt>
                <c:pt idx="13">
                  <c:v>597</c:v>
                </c:pt>
                <c:pt idx="14">
                  <c:v>615</c:v>
                </c:pt>
                <c:pt idx="15">
                  <c:v>731</c:v>
                </c:pt>
                <c:pt idx="16">
                  <c:v>779</c:v>
                </c:pt>
                <c:pt idx="17">
                  <c:v>803</c:v>
                </c:pt>
                <c:pt idx="18">
                  <c:v>804</c:v>
                </c:pt>
                <c:pt idx="19">
                  <c:v>689</c:v>
                </c:pt>
                <c:pt idx="20">
                  <c:v>598</c:v>
                </c:pt>
                <c:pt idx="21">
                  <c:v>802.5</c:v>
                </c:pt>
                <c:pt idx="22">
                  <c:v>679.75600000000009</c:v>
                </c:pt>
                <c:pt idx="23">
                  <c:v>514.85500000000002</c:v>
                </c:pt>
                <c:pt idx="24">
                  <c:v>429.97500000000002</c:v>
                </c:pt>
                <c:pt idx="25">
                  <c:v>355.12399999999997</c:v>
                </c:pt>
                <c:pt idx="26">
                  <c:v>348.46</c:v>
                </c:pt>
                <c:pt idx="27">
                  <c:v>346.72399999999999</c:v>
                </c:pt>
                <c:pt idx="28">
                  <c:v>347.10199999999998</c:v>
                </c:pt>
                <c:pt idx="29">
                  <c:v>348.41800000000001</c:v>
                </c:pt>
                <c:pt idx="30">
                  <c:v>350.12599999999998</c:v>
                </c:pt>
                <c:pt idx="31">
                  <c:v>352.11399999999998</c:v>
                </c:pt>
                <c:pt idx="32">
                  <c:v>1327</c:v>
                </c:pt>
                <c:pt idx="33">
                  <c:v>1251</c:v>
                </c:pt>
                <c:pt idx="34">
                  <c:v>1194</c:v>
                </c:pt>
                <c:pt idx="35">
                  <c:v>1143</c:v>
                </c:pt>
              </c:numCache>
            </c:numRef>
          </c:yVal>
          <c:smooth val="1"/>
        </c:ser>
        <c:ser>
          <c:idx val="3"/>
          <c:order val="3"/>
          <c:tx>
            <c:v>Тст.ж.</c:v>
          </c:tx>
          <c:marker>
            <c:symbol val="none"/>
          </c:marker>
          <c:xVal>
            <c:numRef>
              <c:f>Лист1!$A$900:$A$935</c:f>
              <c:numCache>
                <c:formatCode>General</c:formatCode>
                <c:ptCount val="3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0.182</c:v>
                </c:pt>
                <c:pt idx="19">
                  <c:v>0.19</c:v>
                </c:pt>
                <c:pt idx="20">
                  <c:v>0.2</c:v>
                </c:pt>
                <c:pt idx="21">
                  <c:v>0.21543999999999999</c:v>
                </c:pt>
                <c:pt idx="22">
                  <c:v>0.24088000000000001</c:v>
                </c:pt>
                <c:pt idx="23">
                  <c:v>0.28176000000000001</c:v>
                </c:pt>
                <c:pt idx="24">
                  <c:v>0.38228000000000001</c:v>
                </c:pt>
                <c:pt idx="25">
                  <c:v>0.49428</c:v>
                </c:pt>
                <c:pt idx="26">
                  <c:v>0.60628000000000004</c:v>
                </c:pt>
                <c:pt idx="27">
                  <c:v>0.71828000000000003</c:v>
                </c:pt>
                <c:pt idx="28">
                  <c:v>0.83028000000000002</c:v>
                </c:pt>
                <c:pt idx="29">
                  <c:v>0.94228000000000001</c:v>
                </c:pt>
                <c:pt idx="30">
                  <c:v>1.0542800000000001</c:v>
                </c:pt>
                <c:pt idx="31">
                  <c:v>1.16628</c:v>
                </c:pt>
                <c:pt idx="32">
                  <c:v>1.2782800000000001</c:v>
                </c:pt>
                <c:pt idx="33">
                  <c:v>1.39028</c:v>
                </c:pt>
                <c:pt idx="34">
                  <c:v>1.5022800000000001</c:v>
                </c:pt>
                <c:pt idx="35">
                  <c:v>1.6222799999999999</c:v>
                </c:pt>
              </c:numCache>
            </c:numRef>
          </c:xVal>
          <c:yVal>
            <c:numRef>
              <c:f>Лист1!$E$900:$E$935</c:f>
              <c:numCache>
                <c:formatCode>General</c:formatCode>
                <c:ptCount val="36"/>
                <c:pt idx="0">
                  <c:v>502.77</c:v>
                </c:pt>
                <c:pt idx="1">
                  <c:v>507.38</c:v>
                </c:pt>
                <c:pt idx="2">
                  <c:v>496.83000000000004</c:v>
                </c:pt>
                <c:pt idx="3">
                  <c:v>485.13</c:v>
                </c:pt>
                <c:pt idx="4">
                  <c:v>475.53</c:v>
                </c:pt>
                <c:pt idx="5">
                  <c:v>469.08000000000004</c:v>
                </c:pt>
                <c:pt idx="6">
                  <c:v>467.83000000000004</c:v>
                </c:pt>
                <c:pt idx="7">
                  <c:v>468.83000000000004</c:v>
                </c:pt>
                <c:pt idx="8">
                  <c:v>466.83000000000004</c:v>
                </c:pt>
                <c:pt idx="9">
                  <c:v>459.58000000000004</c:v>
                </c:pt>
                <c:pt idx="10">
                  <c:v>451.13</c:v>
                </c:pt>
                <c:pt idx="11">
                  <c:v>447.48</c:v>
                </c:pt>
                <c:pt idx="12">
                  <c:v>446.43</c:v>
                </c:pt>
                <c:pt idx="13">
                  <c:v>441.13</c:v>
                </c:pt>
                <c:pt idx="14">
                  <c:v>524.58000000000004</c:v>
                </c:pt>
                <c:pt idx="15">
                  <c:v>520.65499999999997</c:v>
                </c:pt>
                <c:pt idx="16">
                  <c:v>509.41</c:v>
                </c:pt>
                <c:pt idx="17">
                  <c:v>504.48950000000002</c:v>
                </c:pt>
                <c:pt idx="18">
                  <c:v>479.33249999999998</c:v>
                </c:pt>
                <c:pt idx="19">
                  <c:v>449.3725</c:v>
                </c:pt>
                <c:pt idx="20">
                  <c:v>404.36399999999998</c:v>
                </c:pt>
                <c:pt idx="21">
                  <c:v>512.11142857142863</c:v>
                </c:pt>
                <c:pt idx="22">
                  <c:v>509.66028571428581</c:v>
                </c:pt>
                <c:pt idx="23">
                  <c:v>419.02785714285716</c:v>
                </c:pt>
                <c:pt idx="24">
                  <c:v>357.84071428571428</c:v>
                </c:pt>
                <c:pt idx="25">
                  <c:v>310.74114285714285</c:v>
                </c:pt>
                <c:pt idx="26">
                  <c:v>314.00857142857143</c:v>
                </c:pt>
                <c:pt idx="27">
                  <c:v>316.86399999999998</c:v>
                </c:pt>
                <c:pt idx="28">
                  <c:v>319.74199999999996</c:v>
                </c:pt>
                <c:pt idx="29">
                  <c:v>322.59800000000001</c:v>
                </c:pt>
                <c:pt idx="30">
                  <c:v>325.38028571428572</c:v>
                </c:pt>
                <c:pt idx="31">
                  <c:v>328.154</c:v>
                </c:pt>
              </c:numCache>
            </c:numRef>
          </c:yVal>
          <c:smooth val="1"/>
        </c:ser>
        <c:axId val="72533888"/>
        <c:axId val="72535424"/>
      </c:scatterChart>
      <c:valAx>
        <c:axId val="72533888"/>
        <c:scaling>
          <c:orientation val="minMax"/>
        </c:scaling>
        <c:axPos val="b"/>
        <c:numFmt formatCode="General" sourceLinked="1"/>
        <c:tickLblPos val="nextTo"/>
        <c:crossAx val="72535424"/>
        <c:crosses val="autoZero"/>
        <c:crossBetween val="midCat"/>
      </c:valAx>
      <c:valAx>
        <c:axId val="72535424"/>
        <c:scaling>
          <c:orientation val="minMax"/>
        </c:scaling>
        <c:axPos val="l"/>
        <c:majorGridlines/>
        <c:numFmt formatCode="General" sourceLinked="1"/>
        <c:tickLblPos val="nextTo"/>
        <c:crossAx val="72533888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/>
      <c:scatterChart>
        <c:scatterStyle val="smoothMarker"/>
        <c:ser>
          <c:idx val="0"/>
          <c:order val="0"/>
          <c:spPr>
            <a:ln w="50800">
              <a:solidFill>
                <a:schemeClr val="accent3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Лист1!$A$1100:$A$1135</c:f>
              <c:numCache>
                <c:formatCode>General</c:formatCode>
                <c:ptCount val="3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0.182</c:v>
                </c:pt>
                <c:pt idx="19">
                  <c:v>0.19</c:v>
                </c:pt>
                <c:pt idx="20">
                  <c:v>0.2</c:v>
                </c:pt>
                <c:pt idx="21">
                  <c:v>0.21543999999999999</c:v>
                </c:pt>
                <c:pt idx="22">
                  <c:v>0.24088000000000001</c:v>
                </c:pt>
                <c:pt idx="23">
                  <c:v>0.28176000000000001</c:v>
                </c:pt>
                <c:pt idx="24">
                  <c:v>0.38228000000000001</c:v>
                </c:pt>
                <c:pt idx="25">
                  <c:v>0.49428</c:v>
                </c:pt>
                <c:pt idx="26">
                  <c:v>0.60628000000000004</c:v>
                </c:pt>
                <c:pt idx="27">
                  <c:v>0.71828000000000003</c:v>
                </c:pt>
                <c:pt idx="28">
                  <c:v>0.83028000000000002</c:v>
                </c:pt>
                <c:pt idx="29">
                  <c:v>0.94228000000000001</c:v>
                </c:pt>
                <c:pt idx="30">
                  <c:v>1.0542800000000001</c:v>
                </c:pt>
                <c:pt idx="31">
                  <c:v>1.16628</c:v>
                </c:pt>
                <c:pt idx="32">
                  <c:v>1.2782800000000001</c:v>
                </c:pt>
                <c:pt idx="33">
                  <c:v>1.39028</c:v>
                </c:pt>
                <c:pt idx="34">
                  <c:v>1.5022800000000001</c:v>
                </c:pt>
                <c:pt idx="35">
                  <c:v>1.6222799999999999</c:v>
                </c:pt>
              </c:numCache>
            </c:numRef>
          </c:xVal>
          <c:yVal>
            <c:numRef>
              <c:f>Лист1!$B$1100:$B$1135</c:f>
              <c:numCache>
                <c:formatCode>General</c:formatCode>
                <c:ptCount val="36"/>
                <c:pt idx="0">
                  <c:v>229</c:v>
                </c:pt>
                <c:pt idx="1">
                  <c:v>223</c:v>
                </c:pt>
                <c:pt idx="2">
                  <c:v>218</c:v>
                </c:pt>
                <c:pt idx="3">
                  <c:v>213</c:v>
                </c:pt>
                <c:pt idx="4">
                  <c:v>208</c:v>
                </c:pt>
                <c:pt idx="5">
                  <c:v>203</c:v>
                </c:pt>
                <c:pt idx="6">
                  <c:v>198</c:v>
                </c:pt>
                <c:pt idx="7">
                  <c:v>194</c:v>
                </c:pt>
                <c:pt idx="8">
                  <c:v>189</c:v>
                </c:pt>
                <c:pt idx="9">
                  <c:v>185</c:v>
                </c:pt>
                <c:pt idx="10">
                  <c:v>180</c:v>
                </c:pt>
                <c:pt idx="11">
                  <c:v>176</c:v>
                </c:pt>
                <c:pt idx="12">
                  <c:v>171</c:v>
                </c:pt>
                <c:pt idx="13">
                  <c:v>166</c:v>
                </c:pt>
                <c:pt idx="14">
                  <c:v>160</c:v>
                </c:pt>
                <c:pt idx="15">
                  <c:v>154</c:v>
                </c:pt>
                <c:pt idx="16">
                  <c:v>147</c:v>
                </c:pt>
                <c:pt idx="17">
                  <c:v>139</c:v>
                </c:pt>
                <c:pt idx="18">
                  <c:v>132</c:v>
                </c:pt>
                <c:pt idx="19">
                  <c:v>125</c:v>
                </c:pt>
                <c:pt idx="20">
                  <c:v>119</c:v>
                </c:pt>
                <c:pt idx="21">
                  <c:v>110</c:v>
                </c:pt>
              </c:numCache>
            </c:numRef>
          </c:yVal>
          <c:smooth val="1"/>
        </c:ser>
        <c:ser>
          <c:idx val="1"/>
          <c:order val="1"/>
          <c:spPr>
            <a:ln w="50800">
              <a:solidFill>
                <a:schemeClr val="accent3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Лист1!$A$1100:$A$1135</c:f>
              <c:numCache>
                <c:formatCode>General</c:formatCode>
                <c:ptCount val="3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0.182</c:v>
                </c:pt>
                <c:pt idx="19">
                  <c:v>0.19</c:v>
                </c:pt>
                <c:pt idx="20">
                  <c:v>0.2</c:v>
                </c:pt>
                <c:pt idx="21">
                  <c:v>0.21543999999999999</c:v>
                </c:pt>
                <c:pt idx="22">
                  <c:v>0.24088000000000001</c:v>
                </c:pt>
                <c:pt idx="23">
                  <c:v>0.28176000000000001</c:v>
                </c:pt>
                <c:pt idx="24">
                  <c:v>0.38228000000000001</c:v>
                </c:pt>
                <c:pt idx="25">
                  <c:v>0.49428</c:v>
                </c:pt>
                <c:pt idx="26">
                  <c:v>0.60628000000000004</c:v>
                </c:pt>
                <c:pt idx="27">
                  <c:v>0.71828000000000003</c:v>
                </c:pt>
                <c:pt idx="28">
                  <c:v>0.83028000000000002</c:v>
                </c:pt>
                <c:pt idx="29">
                  <c:v>0.94228000000000001</c:v>
                </c:pt>
                <c:pt idx="30">
                  <c:v>1.0542800000000001</c:v>
                </c:pt>
                <c:pt idx="31">
                  <c:v>1.16628</c:v>
                </c:pt>
                <c:pt idx="32">
                  <c:v>1.2782800000000001</c:v>
                </c:pt>
                <c:pt idx="33">
                  <c:v>1.39028</c:v>
                </c:pt>
                <c:pt idx="34">
                  <c:v>1.5022800000000001</c:v>
                </c:pt>
                <c:pt idx="35">
                  <c:v>1.6222799999999999</c:v>
                </c:pt>
              </c:numCache>
            </c:numRef>
          </c:xVal>
          <c:yVal>
            <c:numRef>
              <c:f>Лист1!$C$1100:$C$1135</c:f>
              <c:numCache>
                <c:formatCode>General</c:formatCode>
                <c:ptCount val="36"/>
                <c:pt idx="21">
                  <c:v>228.8</c:v>
                </c:pt>
                <c:pt idx="22">
                  <c:v>233.4</c:v>
                </c:pt>
                <c:pt idx="23">
                  <c:v>241.2</c:v>
                </c:pt>
                <c:pt idx="24">
                  <c:v>251.9</c:v>
                </c:pt>
                <c:pt idx="25">
                  <c:v>276.60000000000002</c:v>
                </c:pt>
                <c:pt idx="26">
                  <c:v>287.8</c:v>
                </c:pt>
                <c:pt idx="27">
                  <c:v>295.5</c:v>
                </c:pt>
                <c:pt idx="28">
                  <c:v>300.60000000000002</c:v>
                </c:pt>
                <c:pt idx="29">
                  <c:v>304.2</c:v>
                </c:pt>
                <c:pt idx="30">
                  <c:v>306.8</c:v>
                </c:pt>
                <c:pt idx="31">
                  <c:v>312.7</c:v>
                </c:pt>
              </c:numCache>
            </c:numRef>
          </c:yVal>
          <c:smooth val="1"/>
        </c:ser>
        <c:ser>
          <c:idx val="2"/>
          <c:order val="2"/>
          <c:spPr>
            <a:ln w="5080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Лист1!$A$1100:$A$1135</c:f>
              <c:numCache>
                <c:formatCode>General</c:formatCode>
                <c:ptCount val="3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0.182</c:v>
                </c:pt>
                <c:pt idx="19">
                  <c:v>0.19</c:v>
                </c:pt>
                <c:pt idx="20">
                  <c:v>0.2</c:v>
                </c:pt>
                <c:pt idx="21">
                  <c:v>0.21543999999999999</c:v>
                </c:pt>
                <c:pt idx="22">
                  <c:v>0.24088000000000001</c:v>
                </c:pt>
                <c:pt idx="23">
                  <c:v>0.28176000000000001</c:v>
                </c:pt>
                <c:pt idx="24">
                  <c:v>0.38228000000000001</c:v>
                </c:pt>
                <c:pt idx="25">
                  <c:v>0.49428</c:v>
                </c:pt>
                <c:pt idx="26">
                  <c:v>0.60628000000000004</c:v>
                </c:pt>
                <c:pt idx="27">
                  <c:v>0.71828000000000003</c:v>
                </c:pt>
                <c:pt idx="28">
                  <c:v>0.83028000000000002</c:v>
                </c:pt>
                <c:pt idx="29">
                  <c:v>0.94228000000000001</c:v>
                </c:pt>
                <c:pt idx="30">
                  <c:v>1.0542800000000001</c:v>
                </c:pt>
                <c:pt idx="31">
                  <c:v>1.16628</c:v>
                </c:pt>
                <c:pt idx="32">
                  <c:v>1.2782800000000001</c:v>
                </c:pt>
                <c:pt idx="33">
                  <c:v>1.39028</c:v>
                </c:pt>
                <c:pt idx="34">
                  <c:v>1.5022800000000001</c:v>
                </c:pt>
                <c:pt idx="35">
                  <c:v>1.6222799999999999</c:v>
                </c:pt>
              </c:numCache>
            </c:numRef>
          </c:xVal>
          <c:yVal>
            <c:numRef>
              <c:f>Лист1!$D$1100:$D$1135</c:f>
              <c:numCache>
                <c:formatCode>General</c:formatCode>
                <c:ptCount val="36"/>
                <c:pt idx="0">
                  <c:v>626</c:v>
                </c:pt>
                <c:pt idx="1">
                  <c:v>637</c:v>
                </c:pt>
                <c:pt idx="2">
                  <c:v>627</c:v>
                </c:pt>
                <c:pt idx="3">
                  <c:v>616</c:v>
                </c:pt>
                <c:pt idx="4">
                  <c:v>607</c:v>
                </c:pt>
                <c:pt idx="5">
                  <c:v>601</c:v>
                </c:pt>
                <c:pt idx="6">
                  <c:v>600</c:v>
                </c:pt>
                <c:pt idx="7">
                  <c:v>601</c:v>
                </c:pt>
                <c:pt idx="8">
                  <c:v>599</c:v>
                </c:pt>
                <c:pt idx="9">
                  <c:v>592</c:v>
                </c:pt>
                <c:pt idx="10">
                  <c:v>584</c:v>
                </c:pt>
                <c:pt idx="11">
                  <c:v>582</c:v>
                </c:pt>
                <c:pt idx="12">
                  <c:v>587</c:v>
                </c:pt>
                <c:pt idx="13">
                  <c:v>597</c:v>
                </c:pt>
                <c:pt idx="14">
                  <c:v>615</c:v>
                </c:pt>
                <c:pt idx="15">
                  <c:v>731</c:v>
                </c:pt>
                <c:pt idx="16">
                  <c:v>779</c:v>
                </c:pt>
                <c:pt idx="17">
                  <c:v>803</c:v>
                </c:pt>
                <c:pt idx="18">
                  <c:v>804</c:v>
                </c:pt>
                <c:pt idx="19">
                  <c:v>689</c:v>
                </c:pt>
                <c:pt idx="20">
                  <c:v>598</c:v>
                </c:pt>
                <c:pt idx="21">
                  <c:v>499</c:v>
                </c:pt>
              </c:numCache>
            </c:numRef>
          </c:yVal>
          <c:smooth val="1"/>
        </c:ser>
        <c:ser>
          <c:idx val="3"/>
          <c:order val="3"/>
          <c:spPr>
            <a:ln w="5080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Лист1!$A$1100:$A$1135</c:f>
              <c:numCache>
                <c:formatCode>General</c:formatCode>
                <c:ptCount val="3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0.182</c:v>
                </c:pt>
                <c:pt idx="19">
                  <c:v>0.19</c:v>
                </c:pt>
                <c:pt idx="20">
                  <c:v>0.2</c:v>
                </c:pt>
                <c:pt idx="21">
                  <c:v>0.21543999999999999</c:v>
                </c:pt>
                <c:pt idx="22">
                  <c:v>0.24088000000000001</c:v>
                </c:pt>
                <c:pt idx="23">
                  <c:v>0.28176000000000001</c:v>
                </c:pt>
                <c:pt idx="24">
                  <c:v>0.38228000000000001</c:v>
                </c:pt>
                <c:pt idx="25">
                  <c:v>0.49428</c:v>
                </c:pt>
                <c:pt idx="26">
                  <c:v>0.60628000000000004</c:v>
                </c:pt>
                <c:pt idx="27">
                  <c:v>0.71828000000000003</c:v>
                </c:pt>
                <c:pt idx="28">
                  <c:v>0.83028000000000002</c:v>
                </c:pt>
                <c:pt idx="29">
                  <c:v>0.94228000000000001</c:v>
                </c:pt>
                <c:pt idx="30">
                  <c:v>1.0542800000000001</c:v>
                </c:pt>
                <c:pt idx="31">
                  <c:v>1.16628</c:v>
                </c:pt>
                <c:pt idx="32">
                  <c:v>1.2782800000000001</c:v>
                </c:pt>
                <c:pt idx="33">
                  <c:v>1.39028</c:v>
                </c:pt>
                <c:pt idx="34">
                  <c:v>1.5022800000000001</c:v>
                </c:pt>
                <c:pt idx="35">
                  <c:v>1.6222799999999999</c:v>
                </c:pt>
              </c:numCache>
            </c:numRef>
          </c:xVal>
          <c:yVal>
            <c:numRef>
              <c:f>Лист1!$E$1100:$E$1135</c:f>
              <c:numCache>
                <c:formatCode>General</c:formatCode>
                <c:ptCount val="36"/>
                <c:pt idx="21">
                  <c:v>753</c:v>
                </c:pt>
                <c:pt idx="22">
                  <c:v>680</c:v>
                </c:pt>
                <c:pt idx="23">
                  <c:v>515</c:v>
                </c:pt>
                <c:pt idx="24">
                  <c:v>430</c:v>
                </c:pt>
                <c:pt idx="25">
                  <c:v>355</c:v>
                </c:pt>
                <c:pt idx="26">
                  <c:v>348</c:v>
                </c:pt>
                <c:pt idx="27">
                  <c:v>347</c:v>
                </c:pt>
                <c:pt idx="28">
                  <c:v>347</c:v>
                </c:pt>
                <c:pt idx="29">
                  <c:v>348</c:v>
                </c:pt>
                <c:pt idx="30">
                  <c:v>350</c:v>
                </c:pt>
                <c:pt idx="31">
                  <c:v>352</c:v>
                </c:pt>
              </c:numCache>
            </c:numRef>
          </c:yVal>
          <c:smooth val="1"/>
        </c:ser>
        <c:ser>
          <c:idx val="4"/>
          <c:order val="4"/>
          <c:spPr>
            <a:ln w="5080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Лист1!$A$1100:$A$1135</c:f>
              <c:numCache>
                <c:formatCode>General</c:formatCode>
                <c:ptCount val="3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0.182</c:v>
                </c:pt>
                <c:pt idx="19">
                  <c:v>0.19</c:v>
                </c:pt>
                <c:pt idx="20">
                  <c:v>0.2</c:v>
                </c:pt>
                <c:pt idx="21">
                  <c:v>0.21543999999999999</c:v>
                </c:pt>
                <c:pt idx="22">
                  <c:v>0.24088000000000001</c:v>
                </c:pt>
                <c:pt idx="23">
                  <c:v>0.28176000000000001</c:v>
                </c:pt>
                <c:pt idx="24">
                  <c:v>0.38228000000000001</c:v>
                </c:pt>
                <c:pt idx="25">
                  <c:v>0.49428</c:v>
                </c:pt>
                <c:pt idx="26">
                  <c:v>0.60628000000000004</c:v>
                </c:pt>
                <c:pt idx="27">
                  <c:v>0.71828000000000003</c:v>
                </c:pt>
                <c:pt idx="28">
                  <c:v>0.83028000000000002</c:v>
                </c:pt>
                <c:pt idx="29">
                  <c:v>0.94228000000000001</c:v>
                </c:pt>
                <c:pt idx="30">
                  <c:v>1.0542800000000001</c:v>
                </c:pt>
                <c:pt idx="31">
                  <c:v>1.16628</c:v>
                </c:pt>
                <c:pt idx="32">
                  <c:v>1.2782800000000001</c:v>
                </c:pt>
                <c:pt idx="33">
                  <c:v>1.39028</c:v>
                </c:pt>
                <c:pt idx="34">
                  <c:v>1.5022800000000001</c:v>
                </c:pt>
                <c:pt idx="35">
                  <c:v>1.6222799999999999</c:v>
                </c:pt>
              </c:numCache>
            </c:numRef>
          </c:xVal>
          <c:yVal>
            <c:numRef>
              <c:f>Лист1!$F$1100:$F$1135</c:f>
              <c:numCache>
                <c:formatCode>General</c:formatCode>
                <c:ptCount val="36"/>
                <c:pt idx="31">
                  <c:v>1305</c:v>
                </c:pt>
                <c:pt idx="32">
                  <c:v>1231</c:v>
                </c:pt>
                <c:pt idx="33">
                  <c:v>1174</c:v>
                </c:pt>
                <c:pt idx="34">
                  <c:v>1123</c:v>
                </c:pt>
                <c:pt idx="35">
                  <c:v>1084</c:v>
                </c:pt>
              </c:numCache>
            </c:numRef>
          </c:yVal>
          <c:smooth val="1"/>
        </c:ser>
        <c:ser>
          <c:idx val="5"/>
          <c:order val="5"/>
          <c:spPr>
            <a:ln w="50800"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Лист1!$A$1100:$A$1135</c:f>
              <c:numCache>
                <c:formatCode>General</c:formatCode>
                <c:ptCount val="3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0.182</c:v>
                </c:pt>
                <c:pt idx="19">
                  <c:v>0.19</c:v>
                </c:pt>
                <c:pt idx="20">
                  <c:v>0.2</c:v>
                </c:pt>
                <c:pt idx="21">
                  <c:v>0.21543999999999999</c:v>
                </c:pt>
                <c:pt idx="22">
                  <c:v>0.24088000000000001</c:v>
                </c:pt>
                <c:pt idx="23">
                  <c:v>0.28176000000000001</c:v>
                </c:pt>
                <c:pt idx="24">
                  <c:v>0.38228000000000001</c:v>
                </c:pt>
                <c:pt idx="25">
                  <c:v>0.49428</c:v>
                </c:pt>
                <c:pt idx="26">
                  <c:v>0.60628000000000004</c:v>
                </c:pt>
                <c:pt idx="27">
                  <c:v>0.71828000000000003</c:v>
                </c:pt>
                <c:pt idx="28">
                  <c:v>0.83028000000000002</c:v>
                </c:pt>
                <c:pt idx="29">
                  <c:v>0.94228000000000001</c:v>
                </c:pt>
                <c:pt idx="30">
                  <c:v>1.0542800000000001</c:v>
                </c:pt>
                <c:pt idx="31">
                  <c:v>1.16628</c:v>
                </c:pt>
                <c:pt idx="32">
                  <c:v>1.2782800000000001</c:v>
                </c:pt>
                <c:pt idx="33">
                  <c:v>1.39028</c:v>
                </c:pt>
                <c:pt idx="34">
                  <c:v>1.5022800000000001</c:v>
                </c:pt>
                <c:pt idx="35">
                  <c:v>1.6222799999999999</c:v>
                </c:pt>
              </c:numCache>
            </c:numRef>
          </c:xVal>
          <c:yVal>
            <c:numRef>
              <c:f>Лист1!$G$1100:$G$1135</c:f>
              <c:numCache>
                <c:formatCode>General</c:formatCode>
                <c:ptCount val="36"/>
                <c:pt idx="0">
                  <c:v>502.77</c:v>
                </c:pt>
                <c:pt idx="1">
                  <c:v>507.38</c:v>
                </c:pt>
                <c:pt idx="2">
                  <c:v>496.83000000000004</c:v>
                </c:pt>
                <c:pt idx="3">
                  <c:v>485.13</c:v>
                </c:pt>
                <c:pt idx="4">
                  <c:v>475.53</c:v>
                </c:pt>
                <c:pt idx="5">
                  <c:v>469.08000000000004</c:v>
                </c:pt>
                <c:pt idx="6">
                  <c:v>467.83000000000004</c:v>
                </c:pt>
                <c:pt idx="7">
                  <c:v>468.83000000000004</c:v>
                </c:pt>
                <c:pt idx="8">
                  <c:v>466.83000000000004</c:v>
                </c:pt>
                <c:pt idx="9">
                  <c:v>459.58000000000004</c:v>
                </c:pt>
                <c:pt idx="10">
                  <c:v>451.13</c:v>
                </c:pt>
                <c:pt idx="11">
                  <c:v>447.48</c:v>
                </c:pt>
                <c:pt idx="12">
                  <c:v>446.43</c:v>
                </c:pt>
                <c:pt idx="13">
                  <c:v>444.43</c:v>
                </c:pt>
                <c:pt idx="14">
                  <c:v>441.13</c:v>
                </c:pt>
                <c:pt idx="15">
                  <c:v>524.58000000000004</c:v>
                </c:pt>
                <c:pt idx="16">
                  <c:v>520.65499999999997</c:v>
                </c:pt>
                <c:pt idx="17">
                  <c:v>509.41</c:v>
                </c:pt>
                <c:pt idx="18">
                  <c:v>504.48950000000002</c:v>
                </c:pt>
                <c:pt idx="19">
                  <c:v>479.33249999999998</c:v>
                </c:pt>
                <c:pt idx="20">
                  <c:v>449.3725</c:v>
                </c:pt>
                <c:pt idx="21">
                  <c:v>404.36399999999998</c:v>
                </c:pt>
              </c:numCache>
            </c:numRef>
          </c:yVal>
          <c:smooth val="1"/>
        </c:ser>
        <c:ser>
          <c:idx val="6"/>
          <c:order val="6"/>
          <c:spPr>
            <a:ln w="50800"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Лист1!$A$1100:$A$1135</c:f>
              <c:numCache>
                <c:formatCode>General</c:formatCode>
                <c:ptCount val="3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0.182</c:v>
                </c:pt>
                <c:pt idx="19">
                  <c:v>0.19</c:v>
                </c:pt>
                <c:pt idx="20">
                  <c:v>0.2</c:v>
                </c:pt>
                <c:pt idx="21">
                  <c:v>0.21543999999999999</c:v>
                </c:pt>
                <c:pt idx="22">
                  <c:v>0.24088000000000001</c:v>
                </c:pt>
                <c:pt idx="23">
                  <c:v>0.28176000000000001</c:v>
                </c:pt>
                <c:pt idx="24">
                  <c:v>0.38228000000000001</c:v>
                </c:pt>
                <c:pt idx="25">
                  <c:v>0.49428</c:v>
                </c:pt>
                <c:pt idx="26">
                  <c:v>0.60628000000000004</c:v>
                </c:pt>
                <c:pt idx="27">
                  <c:v>0.71828000000000003</c:v>
                </c:pt>
                <c:pt idx="28">
                  <c:v>0.83028000000000002</c:v>
                </c:pt>
                <c:pt idx="29">
                  <c:v>0.94228000000000001</c:v>
                </c:pt>
                <c:pt idx="30">
                  <c:v>1.0542800000000001</c:v>
                </c:pt>
                <c:pt idx="31">
                  <c:v>1.16628</c:v>
                </c:pt>
                <c:pt idx="32">
                  <c:v>1.2782800000000001</c:v>
                </c:pt>
                <c:pt idx="33">
                  <c:v>1.39028</c:v>
                </c:pt>
                <c:pt idx="34">
                  <c:v>1.5022800000000001</c:v>
                </c:pt>
                <c:pt idx="35">
                  <c:v>1.6222799999999999</c:v>
                </c:pt>
              </c:numCache>
            </c:numRef>
          </c:xVal>
          <c:yVal>
            <c:numRef>
              <c:f>Лист1!$H$1100:$H$1135</c:f>
              <c:numCache>
                <c:formatCode>General</c:formatCode>
                <c:ptCount val="36"/>
                <c:pt idx="21">
                  <c:v>550</c:v>
                </c:pt>
                <c:pt idx="22">
                  <c:v>509.90428571428572</c:v>
                </c:pt>
                <c:pt idx="23">
                  <c:v>419.17285714285714</c:v>
                </c:pt>
                <c:pt idx="24">
                  <c:v>357.86571428571426</c:v>
                </c:pt>
                <c:pt idx="25">
                  <c:v>310.61714285714288</c:v>
                </c:pt>
                <c:pt idx="26">
                  <c:v>313.54857142857145</c:v>
                </c:pt>
                <c:pt idx="27">
                  <c:v>317.14</c:v>
                </c:pt>
                <c:pt idx="28">
                  <c:v>319.64</c:v>
                </c:pt>
                <c:pt idx="29">
                  <c:v>322.18</c:v>
                </c:pt>
                <c:pt idx="30">
                  <c:v>325.25428571428574</c:v>
                </c:pt>
                <c:pt idx="31">
                  <c:v>328.04</c:v>
                </c:pt>
              </c:numCache>
            </c:numRef>
          </c:yVal>
          <c:smooth val="1"/>
        </c:ser>
        <c:dLbls>
          <c:dLblPos val="r"/>
        </c:dLbls>
        <c:axId val="56298112"/>
        <c:axId val="56296192"/>
      </c:scatterChart>
      <c:valAx>
        <c:axId val="56298112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spPr>
          <a:ln>
            <a:solidFill>
              <a:srgbClr val="C00000"/>
            </a:solidFill>
          </a:ln>
        </c:spPr>
        <c:txPr>
          <a:bodyPr/>
          <a:lstStyle/>
          <a:p>
            <a:pPr>
              <a:defRPr sz="2000" baseline="0"/>
            </a:pPr>
            <a:endParaRPr lang="ru-RU"/>
          </a:p>
        </c:txPr>
        <c:crossAx val="56296192"/>
        <c:crosses val="autoZero"/>
        <c:crossBetween val="midCat"/>
      </c:valAx>
      <c:valAx>
        <c:axId val="5629619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txPr>
          <a:bodyPr/>
          <a:lstStyle/>
          <a:p>
            <a:pPr>
              <a:defRPr sz="2000" baseline="0"/>
            </a:pPr>
            <a:endParaRPr lang="ru-RU"/>
          </a:p>
        </c:txPr>
        <c:crossAx val="56298112"/>
        <c:crosses val="autoZero"/>
        <c:crossBetween val="midCat"/>
      </c:valAx>
      <c:spPr>
        <a:ln w="12700">
          <a:solidFill>
            <a:schemeClr val="tx1"/>
          </a:solidFill>
        </a:ln>
      </c:spPr>
    </c:plotArea>
    <c:legend>
      <c:legendPos val="r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249</xdr:row>
      <xdr:rowOff>190499</xdr:rowOff>
    </xdr:from>
    <xdr:to>
      <xdr:col>17</xdr:col>
      <xdr:colOff>228600</xdr:colOff>
      <xdr:row>284</xdr:row>
      <xdr:rowOff>180974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184895</xdr:colOff>
      <xdr:row>791</xdr:row>
      <xdr:rowOff>33058</xdr:rowOff>
    </xdr:from>
    <xdr:to>
      <xdr:col>36</xdr:col>
      <xdr:colOff>384922</xdr:colOff>
      <xdr:row>822</xdr:row>
      <xdr:rowOff>120463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76200</xdr:colOff>
      <xdr:row>1011</xdr:row>
      <xdr:rowOff>180975</xdr:rowOff>
    </xdr:from>
    <xdr:to>
      <xdr:col>14</xdr:col>
      <xdr:colOff>381000</xdr:colOff>
      <xdr:row>1025</xdr:row>
      <xdr:rowOff>123825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22411</xdr:colOff>
      <xdr:row>937</xdr:row>
      <xdr:rowOff>22412</xdr:rowOff>
    </xdr:from>
    <xdr:to>
      <xdr:col>21</xdr:col>
      <xdr:colOff>403411</xdr:colOff>
      <xdr:row>976</xdr:row>
      <xdr:rowOff>134471</xdr:rowOff>
    </xdr:to>
    <xdr:graphicFrame macro="">
      <xdr:nvGraphicFramePr>
        <xdr:cNvPr id="17" name="Диаграмма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526676</xdr:colOff>
      <xdr:row>1136</xdr:row>
      <xdr:rowOff>100854</xdr:rowOff>
    </xdr:from>
    <xdr:to>
      <xdr:col>20</xdr:col>
      <xdr:colOff>246528</xdr:colOff>
      <xdr:row>1175</xdr:row>
      <xdr:rowOff>33618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1135"/>
  <sheetViews>
    <sheetView tabSelected="1" topLeftCell="A1135" zoomScale="85" zoomScaleNormal="85" workbookViewId="0">
      <selection activeCell="H1122" sqref="H1122"/>
    </sheetView>
  </sheetViews>
  <sheetFormatPr defaultRowHeight="15"/>
  <cols>
    <col min="41" max="41" width="9.7109375" bestFit="1" customWidth="1"/>
  </cols>
  <sheetData>
    <row r="1" spans="2:12">
      <c r="B1">
        <v>652.44899999999996</v>
      </c>
    </row>
    <row r="2" spans="2:12">
      <c r="B2">
        <v>665.44100000000003</v>
      </c>
    </row>
    <row r="3" spans="2:12">
      <c r="B3">
        <v>655.30499999999995</v>
      </c>
    </row>
    <row r="4" spans="2:12">
      <c r="B4">
        <v>643.41700000000003</v>
      </c>
    </row>
    <row r="5" spans="2:12">
      <c r="B5">
        <v>632.24</v>
      </c>
    </row>
    <row r="6" spans="2:12">
      <c r="B6">
        <v>623.93600000000004</v>
      </c>
    </row>
    <row r="7" spans="2:12">
      <c r="B7">
        <v>619.71600000000001</v>
      </c>
      <c r="L7">
        <v>1.3944E-2</v>
      </c>
    </row>
    <row r="8" spans="2:12">
      <c r="B8">
        <v>619.89200000000005</v>
      </c>
      <c r="L8">
        <v>1.3946999999999999E-2</v>
      </c>
    </row>
    <row r="9" spans="2:12">
      <c r="B9">
        <v>620.32299999999998</v>
      </c>
      <c r="L9">
        <v>1.3945000000000001E-2</v>
      </c>
    </row>
    <row r="10" spans="2:12">
      <c r="B10">
        <v>615.60400000000004</v>
      </c>
      <c r="L10">
        <v>1.3943000000000001E-2</v>
      </c>
    </row>
    <row r="11" spans="2:12">
      <c r="B11">
        <v>607.13900000000001</v>
      </c>
      <c r="L11">
        <v>1.3941E-2</v>
      </c>
    </row>
    <row r="12" spans="2:12">
      <c r="B12">
        <v>602.23599999999999</v>
      </c>
      <c r="L12">
        <v>1.3939E-2</v>
      </c>
    </row>
    <row r="13" spans="2:12">
      <c r="B13">
        <v>606.55200000000002</v>
      </c>
      <c r="L13">
        <v>1.3938000000000001E-2</v>
      </c>
    </row>
    <row r="14" spans="2:12">
      <c r="B14">
        <v>617.93200000000002</v>
      </c>
      <c r="L14">
        <v>1.3938000000000001E-2</v>
      </c>
    </row>
    <row r="15" spans="2:12">
      <c r="B15">
        <v>637.05399999999997</v>
      </c>
      <c r="G15">
        <v>559.12</v>
      </c>
      <c r="L15">
        <v>1.3938000000000001E-2</v>
      </c>
    </row>
    <row r="16" spans="2:12">
      <c r="B16">
        <v>729.48299999999995</v>
      </c>
      <c r="G16">
        <v>503.6</v>
      </c>
      <c r="L16">
        <v>1.3938000000000001E-2</v>
      </c>
    </row>
    <row r="17" spans="2:12">
      <c r="B17">
        <v>779.57</v>
      </c>
      <c r="G17">
        <v>457.43799999999999</v>
      </c>
      <c r="L17">
        <v>1.3936E-2</v>
      </c>
    </row>
    <row r="18" spans="2:12">
      <c r="B18">
        <v>803.96199999999999</v>
      </c>
      <c r="G18">
        <v>402.36500000000001</v>
      </c>
      <c r="L18">
        <v>1.3934999999999999E-2</v>
      </c>
    </row>
    <row r="19" spans="2:12">
      <c r="B19">
        <v>802.79200000000003</v>
      </c>
      <c r="G19">
        <v>330.13900000000001</v>
      </c>
      <c r="L19">
        <v>1.3936E-2</v>
      </c>
    </row>
    <row r="20" spans="2:12">
      <c r="B20">
        <v>680.95500000000004</v>
      </c>
      <c r="G20">
        <v>342.14600000000002</v>
      </c>
      <c r="L20">
        <v>1.3938000000000001E-2</v>
      </c>
    </row>
    <row r="21" spans="2:12" ht="15.75" thickBot="1">
      <c r="B21" s="4">
        <v>559.12</v>
      </c>
      <c r="C21">
        <v>585.49599999999998</v>
      </c>
      <c r="E21" s="4"/>
      <c r="G21">
        <v>349.98399999999998</v>
      </c>
      <c r="H21">
        <v>559.12</v>
      </c>
      <c r="L21">
        <v>1.3941E-2</v>
      </c>
    </row>
    <row r="22" spans="2:12" ht="15.75" thickBot="1">
      <c r="B22" s="4">
        <v>503.6</v>
      </c>
      <c r="C22">
        <v>486.94499999999999</v>
      </c>
      <c r="E22" s="4"/>
      <c r="G22">
        <v>355.94200000000001</v>
      </c>
      <c r="H22">
        <v>503.6</v>
      </c>
      <c r="L22">
        <v>1.3958999999999999E-2</v>
      </c>
    </row>
    <row r="23" spans="2:12" ht="15.75" thickBot="1">
      <c r="B23" s="4">
        <v>457.43799999999999</v>
      </c>
      <c r="E23" s="4"/>
      <c r="G23">
        <v>360.91</v>
      </c>
      <c r="H23">
        <v>457.43799999999999</v>
      </c>
      <c r="L23">
        <v>1.3968E-2</v>
      </c>
    </row>
    <row r="24" spans="2:12" ht="15.75" thickBot="1">
      <c r="B24" s="4">
        <v>402.36500000000001</v>
      </c>
      <c r="E24" s="4"/>
      <c r="G24">
        <v>365.22800000000001</v>
      </c>
      <c r="H24">
        <v>402.36500000000001</v>
      </c>
      <c r="L24">
        <v>1.3972999999999999E-2</v>
      </c>
    </row>
    <row r="25" spans="2:12" ht="15.75" thickBot="1">
      <c r="B25" s="4">
        <v>330.13900000000001</v>
      </c>
      <c r="E25" s="4"/>
      <c r="G25">
        <v>369.13600000000002</v>
      </c>
      <c r="H25">
        <v>330.13900000000001</v>
      </c>
      <c r="L25">
        <v>1.3972999999999999E-2</v>
      </c>
    </row>
    <row r="26" spans="2:12" ht="15.75" thickBot="1">
      <c r="B26" s="4">
        <v>342.14600000000002</v>
      </c>
      <c r="E26" s="4"/>
      <c r="G26">
        <v>372.78</v>
      </c>
      <c r="H26">
        <v>342.14600000000002</v>
      </c>
      <c r="L26">
        <v>1.3952000000000001E-2</v>
      </c>
    </row>
    <row r="27" spans="2:12" ht="15.75" thickBot="1">
      <c r="B27" s="4">
        <v>349.98399999999998</v>
      </c>
      <c r="E27" s="4"/>
      <c r="G27">
        <v>376.226</v>
      </c>
      <c r="H27">
        <v>349.98399999999998</v>
      </c>
      <c r="L27">
        <v>1.3931000000000001E-2</v>
      </c>
    </row>
    <row r="28" spans="2:12" ht="15.75" thickBot="1">
      <c r="B28" s="4">
        <v>355.94200000000001</v>
      </c>
      <c r="E28" s="4"/>
      <c r="G28">
        <v>379.57900000000001</v>
      </c>
      <c r="H28">
        <v>355.94200000000001</v>
      </c>
      <c r="L28">
        <v>1.3923E-2</v>
      </c>
    </row>
    <row r="29" spans="2:12" ht="15.75" thickBot="1">
      <c r="B29" s="4">
        <v>360.91</v>
      </c>
      <c r="E29" s="4"/>
      <c r="G29">
        <v>382.72800000000001</v>
      </c>
      <c r="H29">
        <v>360.91</v>
      </c>
      <c r="L29">
        <v>1.3917000000000001E-2</v>
      </c>
    </row>
    <row r="30" spans="2:12" ht="15.75" thickBot="1">
      <c r="B30" s="4">
        <v>365.22800000000001</v>
      </c>
      <c r="E30" s="4"/>
      <c r="H30">
        <v>365.22800000000001</v>
      </c>
      <c r="L30">
        <v>1.3911E-2</v>
      </c>
    </row>
    <row r="31" spans="2:12" ht="15.75" thickBot="1">
      <c r="B31" s="4">
        <v>369.13600000000002</v>
      </c>
      <c r="E31" s="4"/>
      <c r="H31">
        <v>369.13600000000002</v>
      </c>
      <c r="L31">
        <v>1.3903E-2</v>
      </c>
    </row>
    <row r="32" spans="2:12">
      <c r="B32">
        <v>372.78</v>
      </c>
      <c r="H32">
        <v>372.78</v>
      </c>
      <c r="L32">
        <v>1.3908E-2</v>
      </c>
    </row>
    <row r="33" spans="2:12">
      <c r="B33">
        <v>376.226</v>
      </c>
      <c r="H33">
        <v>376.226</v>
      </c>
      <c r="L33">
        <v>1.3912000000000001E-2</v>
      </c>
    </row>
    <row r="34" spans="2:12">
      <c r="B34">
        <v>379.57900000000001</v>
      </c>
      <c r="H34">
        <v>379.57900000000001</v>
      </c>
      <c r="L34">
        <v>1.3913999999999999E-2</v>
      </c>
    </row>
    <row r="35" spans="2:12">
      <c r="B35">
        <v>382.72800000000001</v>
      </c>
      <c r="H35">
        <v>382.72800000000001</v>
      </c>
      <c r="L35">
        <v>1.3916E-2</v>
      </c>
    </row>
    <row r="36" spans="2:12">
      <c r="B36">
        <v>385.93599999999998</v>
      </c>
      <c r="L36">
        <v>1.3918E-2</v>
      </c>
    </row>
    <row r="37" spans="2:12">
      <c r="L37">
        <v>1.3919000000000001E-2</v>
      </c>
    </row>
    <row r="38" spans="2:12">
      <c r="L38">
        <v>1.3920999999999999E-2</v>
      </c>
    </row>
    <row r="39" spans="2:12">
      <c r="I39" s="5">
        <v>8.2979999999999998E-3</v>
      </c>
      <c r="J39" s="6">
        <f>I39*1000</f>
        <v>8.298</v>
      </c>
      <c r="L39">
        <v>1.3922E-2</v>
      </c>
    </row>
    <row r="40" spans="2:12">
      <c r="I40" s="5">
        <v>8.2990000000000008E-3</v>
      </c>
      <c r="J40" s="6">
        <f t="shared" ref="J40:J74" si="0">I40*1000</f>
        <v>8.2990000000000013</v>
      </c>
      <c r="L40">
        <v>1.3923E-2</v>
      </c>
    </row>
    <row r="41" spans="2:12">
      <c r="I41" s="5">
        <v>8.2979999999999998E-3</v>
      </c>
      <c r="J41" s="6">
        <f t="shared" si="0"/>
        <v>8.298</v>
      </c>
      <c r="L41">
        <v>1.3924000000000001E-2</v>
      </c>
    </row>
    <row r="42" spans="2:12">
      <c r="I42" s="5">
        <v>8.2970000000000006E-3</v>
      </c>
      <c r="J42" s="6">
        <f t="shared" si="0"/>
        <v>8.2970000000000006</v>
      </c>
      <c r="L42">
        <v>1.3925E-2</v>
      </c>
    </row>
    <row r="43" spans="2:12">
      <c r="I43" s="5">
        <v>8.2950000000000003E-3</v>
      </c>
      <c r="J43" s="6">
        <f t="shared" si="0"/>
        <v>8.2949999999999999</v>
      </c>
    </row>
    <row r="44" spans="2:12">
      <c r="I44" s="5">
        <v>8.2939999999999993E-3</v>
      </c>
      <c r="J44" s="6">
        <f t="shared" si="0"/>
        <v>8.2939999999999987</v>
      </c>
    </row>
    <row r="45" spans="2:12">
      <c r="I45" s="5">
        <v>8.2939999999999993E-3</v>
      </c>
      <c r="J45" s="6">
        <f t="shared" si="0"/>
        <v>8.2939999999999987</v>
      </c>
    </row>
    <row r="46" spans="2:12">
      <c r="I46" s="5">
        <v>8.2939999999999993E-3</v>
      </c>
      <c r="J46" s="6">
        <f t="shared" si="0"/>
        <v>8.2939999999999987</v>
      </c>
    </row>
    <row r="47" spans="2:12">
      <c r="I47" s="5">
        <v>8.2939999999999993E-3</v>
      </c>
      <c r="J47" s="6">
        <f t="shared" si="0"/>
        <v>8.2939999999999987</v>
      </c>
    </row>
    <row r="48" spans="2:12">
      <c r="I48" s="5">
        <v>8.2939999999999993E-3</v>
      </c>
      <c r="J48" s="6">
        <f t="shared" si="0"/>
        <v>8.2939999999999987</v>
      </c>
    </row>
    <row r="49" spans="5:12">
      <c r="I49" s="5">
        <v>8.293E-3</v>
      </c>
      <c r="J49" s="6">
        <f t="shared" si="0"/>
        <v>8.2929999999999993</v>
      </c>
      <c r="L49">
        <v>0.05</v>
      </c>
    </row>
    <row r="50" spans="5:12">
      <c r="I50" s="5">
        <v>8.2920000000000008E-3</v>
      </c>
      <c r="J50" s="6">
        <f t="shared" si="0"/>
        <v>8.2920000000000016</v>
      </c>
      <c r="L50">
        <v>0.05</v>
      </c>
    </row>
    <row r="51" spans="5:12">
      <c r="E51">
        <v>1.75</v>
      </c>
      <c r="I51" s="5">
        <v>8.293E-3</v>
      </c>
      <c r="J51" s="6">
        <f t="shared" si="0"/>
        <v>8.2929999999999993</v>
      </c>
      <c r="L51">
        <v>0.05</v>
      </c>
    </row>
    <row r="52" spans="5:12">
      <c r="E52">
        <v>1.75</v>
      </c>
      <c r="I52" s="5">
        <v>8.2939999999999993E-3</v>
      </c>
      <c r="J52" s="6">
        <f t="shared" si="0"/>
        <v>8.2939999999999987</v>
      </c>
      <c r="L52">
        <v>0.05</v>
      </c>
    </row>
    <row r="53" spans="5:12">
      <c r="E53">
        <v>1.75</v>
      </c>
      <c r="I53" s="5">
        <v>8.2959999999999996E-3</v>
      </c>
      <c r="J53" s="6">
        <f t="shared" si="0"/>
        <v>8.2959999999999994</v>
      </c>
      <c r="L53">
        <v>0.05</v>
      </c>
    </row>
    <row r="54" spans="5:12">
      <c r="E54">
        <v>1.75</v>
      </c>
      <c r="I54" s="5">
        <v>8.3059999999999991E-3</v>
      </c>
      <c r="J54" s="6">
        <f t="shared" si="0"/>
        <v>8.3059999999999992</v>
      </c>
      <c r="L54">
        <v>0.05</v>
      </c>
    </row>
    <row r="55" spans="5:12">
      <c r="E55">
        <v>1.75</v>
      </c>
      <c r="I55" s="5">
        <v>8.3119999999999999E-3</v>
      </c>
      <c r="J55" s="6">
        <f t="shared" si="0"/>
        <v>8.3119999999999994</v>
      </c>
      <c r="L55">
        <v>0.05</v>
      </c>
    </row>
    <row r="56" spans="5:12">
      <c r="E56">
        <v>1.75</v>
      </c>
      <c r="I56" s="5">
        <v>8.3149999999999995E-3</v>
      </c>
      <c r="J56" s="6">
        <f t="shared" si="0"/>
        <v>8.3149999999999995</v>
      </c>
      <c r="L56">
        <v>0.05</v>
      </c>
    </row>
    <row r="57" spans="5:12">
      <c r="E57">
        <v>1.75</v>
      </c>
      <c r="I57" s="5">
        <v>8.3149999999999995E-3</v>
      </c>
      <c r="J57" s="6">
        <f t="shared" si="0"/>
        <v>8.3149999999999995</v>
      </c>
      <c r="L57">
        <v>0.05</v>
      </c>
    </row>
    <row r="58" spans="5:12">
      <c r="E58">
        <v>1.75</v>
      </c>
      <c r="I58" s="5">
        <v>8.3020000000000004E-3</v>
      </c>
      <c r="J58" s="6">
        <f t="shared" si="0"/>
        <v>8.3019999999999996</v>
      </c>
      <c r="L58">
        <v>0.05</v>
      </c>
    </row>
    <row r="59" spans="5:12">
      <c r="E59">
        <v>1.75</v>
      </c>
      <c r="I59" s="5">
        <v>8.2900000000000005E-3</v>
      </c>
      <c r="J59" s="6">
        <f t="shared" si="0"/>
        <v>8.2900000000000009</v>
      </c>
      <c r="L59">
        <v>0.05</v>
      </c>
    </row>
    <row r="60" spans="5:12">
      <c r="E60">
        <v>1.75</v>
      </c>
      <c r="I60" s="5">
        <v>8.2850000000000007E-3</v>
      </c>
      <c r="J60" s="6">
        <f t="shared" si="0"/>
        <v>8.2850000000000001</v>
      </c>
      <c r="L60">
        <v>0.05</v>
      </c>
    </row>
    <row r="61" spans="5:12">
      <c r="E61">
        <v>1.75</v>
      </c>
      <c r="I61" s="5">
        <v>8.2819999999999994E-3</v>
      </c>
      <c r="J61" s="6">
        <f t="shared" si="0"/>
        <v>8.282</v>
      </c>
      <c r="L61">
        <v>5.1999999999999998E-2</v>
      </c>
    </row>
    <row r="62" spans="5:12">
      <c r="E62">
        <v>1.74</v>
      </c>
      <c r="I62" s="5">
        <v>8.2780000000000006E-3</v>
      </c>
      <c r="J62" s="6">
        <f t="shared" si="0"/>
        <v>8.2780000000000005</v>
      </c>
      <c r="L62">
        <v>5.8999999999999997E-2</v>
      </c>
    </row>
    <row r="63" spans="5:12">
      <c r="E63">
        <v>1.6930000000000001</v>
      </c>
      <c r="I63" s="5">
        <v>8.2730000000000008E-3</v>
      </c>
      <c r="J63" s="6">
        <f t="shared" si="0"/>
        <v>8.2730000000000015</v>
      </c>
      <c r="L63">
        <v>7.0000000000000007E-2</v>
      </c>
    </row>
    <row r="64" spans="5:12">
      <c r="E64">
        <v>1.6080000000000001</v>
      </c>
      <c r="I64" s="5">
        <v>8.2760000000000004E-3</v>
      </c>
      <c r="J64" s="6">
        <f t="shared" si="0"/>
        <v>8.2759999999999998</v>
      </c>
      <c r="L64">
        <v>9.2999999999999999E-2</v>
      </c>
    </row>
    <row r="65" spans="5:12">
      <c r="E65">
        <v>1.482</v>
      </c>
      <c r="I65" s="5">
        <v>8.2780000000000006E-3</v>
      </c>
      <c r="J65" s="6">
        <f t="shared" si="0"/>
        <v>8.2780000000000005</v>
      </c>
      <c r="L65">
        <v>0.13500000000000001</v>
      </c>
    </row>
    <row r="66" spans="5:12">
      <c r="E66">
        <v>1.3080000000000001</v>
      </c>
      <c r="I66" s="5">
        <v>8.2799999999999992E-3</v>
      </c>
      <c r="J66" s="6">
        <f t="shared" si="0"/>
        <v>8.2799999999999994</v>
      </c>
      <c r="L66">
        <v>0.19</v>
      </c>
    </row>
    <row r="67" spans="5:12">
      <c r="E67">
        <v>1.1259999999999999</v>
      </c>
      <c r="I67" s="5">
        <v>8.2810000000000002E-3</v>
      </c>
      <c r="J67" s="6">
        <f t="shared" si="0"/>
        <v>8.2810000000000006</v>
      </c>
      <c r="L67">
        <v>0.24</v>
      </c>
    </row>
    <row r="68" spans="5:12">
      <c r="E68">
        <v>1.026</v>
      </c>
      <c r="I68" s="5">
        <v>8.2819999999999994E-3</v>
      </c>
      <c r="J68" s="6">
        <f t="shared" si="0"/>
        <v>8.282</v>
      </c>
      <c r="L68">
        <v>0.38200000000000001</v>
      </c>
    </row>
    <row r="69" spans="5:12">
      <c r="E69">
        <v>1</v>
      </c>
      <c r="I69" s="5">
        <v>8.2830000000000004E-3</v>
      </c>
      <c r="J69" s="6">
        <f t="shared" si="0"/>
        <v>8.2830000000000013</v>
      </c>
      <c r="L69">
        <v>0.44600000000000001</v>
      </c>
    </row>
    <row r="70" spans="5:12">
      <c r="E70">
        <v>1.1890000000000001</v>
      </c>
      <c r="I70" s="5">
        <v>8.2839999999999997E-3</v>
      </c>
      <c r="J70" s="6">
        <f t="shared" si="0"/>
        <v>8.2839999999999989</v>
      </c>
      <c r="L70">
        <v>0.502</v>
      </c>
    </row>
    <row r="71" spans="5:12">
      <c r="E71">
        <v>1.43</v>
      </c>
      <c r="I71" s="5">
        <v>8.2839999999999997E-3</v>
      </c>
      <c r="J71" s="6">
        <f t="shared" si="0"/>
        <v>8.2839999999999989</v>
      </c>
      <c r="L71">
        <v>0.55800000000000005</v>
      </c>
    </row>
    <row r="72" spans="5:12">
      <c r="E72">
        <v>1.79</v>
      </c>
      <c r="I72" s="5">
        <v>8.2850000000000007E-3</v>
      </c>
      <c r="J72" s="6">
        <f t="shared" si="0"/>
        <v>8.2850000000000001</v>
      </c>
      <c r="L72">
        <v>0.61099999999999999</v>
      </c>
    </row>
    <row r="73" spans="5:12">
      <c r="E73">
        <v>2.3889999999999998</v>
      </c>
      <c r="I73" s="5">
        <v>8.286E-3</v>
      </c>
      <c r="J73" s="6">
        <f t="shared" si="0"/>
        <v>8.2859999999999996</v>
      </c>
      <c r="L73">
        <v>0.67600000000000005</v>
      </c>
    </row>
    <row r="74" spans="5:12">
      <c r="E74">
        <v>3.3490000000000002</v>
      </c>
      <c r="I74" s="5">
        <v>8.286E-3</v>
      </c>
      <c r="J74" s="6">
        <f t="shared" si="0"/>
        <v>8.2859999999999996</v>
      </c>
      <c r="L74">
        <v>0.71299999999999997</v>
      </c>
    </row>
    <row r="75" spans="5:12">
      <c r="E75">
        <v>5.6660000000000004</v>
      </c>
      <c r="L75">
        <v>0.73499999999999999</v>
      </c>
    </row>
    <row r="76" spans="5:12">
      <c r="E76">
        <v>8.1319999999999997</v>
      </c>
      <c r="L76">
        <v>0.75</v>
      </c>
    </row>
    <row r="77" spans="5:12">
      <c r="E77">
        <v>10.422000000000001</v>
      </c>
      <c r="L77">
        <v>0.76100000000000001</v>
      </c>
    </row>
    <row r="78" spans="5:12">
      <c r="E78">
        <v>12.489000000000001</v>
      </c>
      <c r="L78">
        <v>0.77</v>
      </c>
    </row>
    <row r="79" spans="5:12">
      <c r="E79">
        <v>14.339</v>
      </c>
      <c r="L79">
        <v>0.77700000000000002</v>
      </c>
    </row>
    <row r="80" spans="5:12">
      <c r="E80">
        <v>16.042999999999999</v>
      </c>
      <c r="L80">
        <v>0.78300000000000003</v>
      </c>
    </row>
    <row r="81" spans="5:12">
      <c r="E81">
        <v>17.664999999999999</v>
      </c>
      <c r="L81">
        <v>0.78700000000000003</v>
      </c>
    </row>
    <row r="82" spans="5:12">
      <c r="E82">
        <v>19.212</v>
      </c>
      <c r="L82">
        <v>0.79100000000000004</v>
      </c>
    </row>
    <row r="83" spans="5:12">
      <c r="E83">
        <v>20.603000000000002</v>
      </c>
      <c r="L83">
        <v>0.79400000000000004</v>
      </c>
    </row>
    <row r="84" spans="5:12">
      <c r="E84">
        <v>21.766999999999999</v>
      </c>
      <c r="L84">
        <v>0.79700000000000004</v>
      </c>
    </row>
    <row r="85" spans="5:12">
      <c r="E85">
        <v>22.748999999999999</v>
      </c>
    </row>
    <row r="86" spans="5:12">
      <c r="E86">
        <v>23.7</v>
      </c>
    </row>
    <row r="89" spans="5:12">
      <c r="E89" s="5">
        <v>24170000</v>
      </c>
      <c r="F89" s="6">
        <f>E89/10000000</f>
        <v>2.4169999999999998</v>
      </c>
    </row>
    <row r="90" spans="5:12">
      <c r="E90" s="5">
        <v>24020000</v>
      </c>
      <c r="F90" s="6">
        <f t="shared" ref="F90:F124" si="1">E90/10000000</f>
        <v>2.4020000000000001</v>
      </c>
    </row>
    <row r="91" spans="5:12">
      <c r="E91" s="5">
        <v>24130000</v>
      </c>
      <c r="F91" s="6">
        <f t="shared" si="1"/>
        <v>2.4129999999999998</v>
      </c>
    </row>
    <row r="92" spans="5:12">
      <c r="E92" s="5">
        <v>24270000</v>
      </c>
      <c r="F92" s="6">
        <f t="shared" si="1"/>
        <v>2.427</v>
      </c>
    </row>
    <row r="93" spans="5:12">
      <c r="E93" s="5">
        <v>24390000</v>
      </c>
      <c r="F93" s="6">
        <f t="shared" si="1"/>
        <v>2.4390000000000001</v>
      </c>
    </row>
    <row r="94" spans="5:12">
      <c r="E94" s="5">
        <v>24480000</v>
      </c>
      <c r="F94" s="6">
        <f t="shared" si="1"/>
        <v>2.448</v>
      </c>
    </row>
    <row r="95" spans="5:12">
      <c r="E95" s="5">
        <v>24530000</v>
      </c>
      <c r="F95" s="6">
        <f t="shared" si="1"/>
        <v>2.4529999999999998</v>
      </c>
    </row>
    <row r="96" spans="5:12">
      <c r="E96" s="5">
        <v>24530000</v>
      </c>
      <c r="F96" s="6">
        <f t="shared" si="1"/>
        <v>2.4529999999999998</v>
      </c>
    </row>
    <row r="97" spans="5:6">
      <c r="E97" s="5">
        <v>24530000</v>
      </c>
      <c r="F97" s="6">
        <f t="shared" si="1"/>
        <v>2.4529999999999998</v>
      </c>
    </row>
    <row r="98" spans="5:6">
      <c r="E98" s="5">
        <v>24580000</v>
      </c>
      <c r="F98" s="6">
        <f t="shared" si="1"/>
        <v>2.4580000000000002</v>
      </c>
    </row>
    <row r="99" spans="5:6">
      <c r="E99" s="5">
        <v>24670000</v>
      </c>
      <c r="F99" s="6">
        <f t="shared" si="1"/>
        <v>2.4670000000000001</v>
      </c>
    </row>
    <row r="100" spans="5:6">
      <c r="E100" s="5">
        <v>25000000</v>
      </c>
      <c r="F100" s="6">
        <f t="shared" si="1"/>
        <v>2.5</v>
      </c>
    </row>
    <row r="101" spans="5:6">
      <c r="E101" s="5">
        <v>26210000</v>
      </c>
      <c r="F101" s="6">
        <f t="shared" si="1"/>
        <v>2.621</v>
      </c>
    </row>
    <row r="102" spans="5:6">
      <c r="E102" s="5">
        <v>28610000</v>
      </c>
      <c r="F102" s="6">
        <f t="shared" si="1"/>
        <v>2.8610000000000002</v>
      </c>
    </row>
    <row r="103" spans="5:6">
      <c r="E103" s="5">
        <v>32870000</v>
      </c>
      <c r="F103" s="6">
        <f t="shared" si="1"/>
        <v>3.2869999999999999</v>
      </c>
    </row>
    <row r="104" spans="5:6">
      <c r="E104" s="5">
        <v>39380000</v>
      </c>
      <c r="F104" s="6">
        <f t="shared" si="1"/>
        <v>3.9380000000000002</v>
      </c>
    </row>
    <row r="105" spans="5:6">
      <c r="E105" s="5">
        <v>50030000</v>
      </c>
      <c r="F105" s="6">
        <f t="shared" si="1"/>
        <v>5.0030000000000001</v>
      </c>
    </row>
    <row r="106" spans="5:6">
      <c r="E106" s="5">
        <v>57480000</v>
      </c>
      <c r="F106" s="6">
        <f t="shared" si="1"/>
        <v>5.7480000000000002</v>
      </c>
    </row>
    <row r="107" spans="5:6">
      <c r="E107" s="5">
        <v>58950000</v>
      </c>
      <c r="F107" s="6">
        <f t="shared" si="1"/>
        <v>5.8949999999999996</v>
      </c>
    </row>
    <row r="108" spans="5:6">
      <c r="E108" s="5">
        <v>41260000</v>
      </c>
      <c r="F108" s="6">
        <f t="shared" si="1"/>
        <v>4.1260000000000003</v>
      </c>
    </row>
    <row r="109" spans="5:6">
      <c r="E109" s="5">
        <v>29260000</v>
      </c>
      <c r="F109" s="6">
        <f t="shared" si="1"/>
        <v>2.9260000000000002</v>
      </c>
    </row>
    <row r="110" spans="5:6">
      <c r="E110" s="5">
        <v>18630000</v>
      </c>
      <c r="F110" s="6">
        <f t="shared" si="1"/>
        <v>1.863</v>
      </c>
    </row>
    <row r="111" spans="5:6">
      <c r="E111" s="5">
        <v>10340000</v>
      </c>
      <c r="F111" s="6">
        <f t="shared" si="1"/>
        <v>1.034</v>
      </c>
    </row>
    <row r="112" spans="5:6">
      <c r="E112" s="5">
        <v>5223000</v>
      </c>
      <c r="F112" s="6">
        <f t="shared" si="1"/>
        <v>0.52229999999999999</v>
      </c>
    </row>
    <row r="113" spans="5:6">
      <c r="E113" s="5">
        <v>1795000</v>
      </c>
      <c r="F113" s="6">
        <f t="shared" si="1"/>
        <v>0.17949999999999999</v>
      </c>
    </row>
    <row r="114" spans="5:6">
      <c r="E114" s="5">
        <v>838700</v>
      </c>
      <c r="F114" s="6">
        <f t="shared" si="1"/>
        <v>8.387E-2</v>
      </c>
    </row>
    <row r="115" spans="5:6">
      <c r="E115" s="5">
        <v>497100</v>
      </c>
      <c r="F115" s="6">
        <f t="shared" si="1"/>
        <v>4.9709999999999997E-2</v>
      </c>
    </row>
    <row r="116" spans="5:6">
      <c r="E116" s="5">
        <v>339400</v>
      </c>
      <c r="F116" s="6">
        <f t="shared" si="1"/>
        <v>3.3939999999999998E-2</v>
      </c>
    </row>
    <row r="117" spans="5:6">
      <c r="E117" s="5">
        <v>253400</v>
      </c>
      <c r="F117" s="6">
        <f t="shared" si="1"/>
        <v>2.5340000000000001E-2</v>
      </c>
    </row>
    <row r="118" spans="5:6">
      <c r="E118" s="5">
        <v>199800</v>
      </c>
      <c r="F118" s="6">
        <f t="shared" si="1"/>
        <v>1.9980000000000001E-2</v>
      </c>
    </row>
    <row r="119" spans="5:6">
      <c r="E119" s="5">
        <v>162800</v>
      </c>
      <c r="F119" s="6">
        <f t="shared" si="1"/>
        <v>1.6279999999999999E-2</v>
      </c>
    </row>
    <row r="120" spans="5:6">
      <c r="E120" s="5">
        <v>136300</v>
      </c>
      <c r="F120" s="6">
        <f t="shared" si="1"/>
        <v>1.363E-2</v>
      </c>
    </row>
    <row r="121" spans="5:6">
      <c r="E121" s="5">
        <v>117600</v>
      </c>
      <c r="F121" s="6">
        <f t="shared" si="1"/>
        <v>1.176E-2</v>
      </c>
    </row>
    <row r="122" spans="5:6">
      <c r="E122" s="5">
        <v>104500</v>
      </c>
      <c r="F122" s="6">
        <f t="shared" si="1"/>
        <v>1.0449999999999999E-2</v>
      </c>
    </row>
    <row r="123" spans="5:6">
      <c r="E123" s="5">
        <v>95200</v>
      </c>
      <c r="F123" s="6">
        <f t="shared" si="1"/>
        <v>9.5200000000000007E-3</v>
      </c>
    </row>
    <row r="124" spans="5:6">
      <c r="E124" s="5">
        <v>87200</v>
      </c>
      <c r="F124" s="6">
        <f t="shared" si="1"/>
        <v>8.7200000000000003E-3</v>
      </c>
    </row>
    <row r="141" spans="6:7">
      <c r="F141" s="5">
        <v>476000</v>
      </c>
      <c r="G141" s="7">
        <f>F141/1000000</f>
        <v>0.47599999999999998</v>
      </c>
    </row>
    <row r="142" spans="6:7">
      <c r="F142" s="5">
        <v>1904000</v>
      </c>
      <c r="G142" s="7">
        <f t="shared" ref="G142:G176" si="2">F142/1000000</f>
        <v>1.9039999999999999</v>
      </c>
    </row>
    <row r="143" spans="6:7">
      <c r="F143" s="5">
        <v>1904000</v>
      </c>
      <c r="G143" s="7">
        <f t="shared" si="2"/>
        <v>1.9039999999999999</v>
      </c>
    </row>
    <row r="144" spans="6:7">
      <c r="F144" s="5">
        <v>1904000</v>
      </c>
      <c r="G144" s="7">
        <f t="shared" si="2"/>
        <v>1.9039999999999999</v>
      </c>
    </row>
    <row r="145" spans="6:13" ht="15.75" thickBot="1">
      <c r="F145" s="5">
        <v>1904000</v>
      </c>
      <c r="G145" s="7">
        <f t="shared" si="2"/>
        <v>1.9039999999999999</v>
      </c>
    </row>
    <row r="146" spans="6:13" ht="15.75" thickBot="1">
      <c r="F146" s="5">
        <v>1904000</v>
      </c>
      <c r="G146" s="7">
        <f t="shared" si="2"/>
        <v>1.9039999999999999</v>
      </c>
      <c r="K146" s="2">
        <v>2.42</v>
      </c>
      <c r="L146" s="8">
        <v>0.47599999999999998</v>
      </c>
      <c r="M146">
        <f>K146+L146</f>
        <v>2.8959999999999999</v>
      </c>
    </row>
    <row r="147" spans="6:13" ht="15.75" thickBot="1">
      <c r="F147" s="5">
        <v>1904000</v>
      </c>
      <c r="G147" s="7">
        <f t="shared" si="2"/>
        <v>1.9039999999999999</v>
      </c>
      <c r="K147" s="4">
        <v>2.4</v>
      </c>
      <c r="L147" s="9">
        <v>1.9039999999999999</v>
      </c>
      <c r="M147">
        <f t="shared" ref="M147:M181" si="3">K147+L147</f>
        <v>4.3040000000000003</v>
      </c>
    </row>
    <row r="148" spans="6:13" ht="15.75" thickBot="1">
      <c r="F148" s="5">
        <v>1904000</v>
      </c>
      <c r="G148" s="7">
        <f t="shared" si="2"/>
        <v>1.9039999999999999</v>
      </c>
      <c r="K148" s="4">
        <v>2.41</v>
      </c>
      <c r="L148" s="9">
        <v>1.9039999999999999</v>
      </c>
      <c r="M148">
        <f t="shared" si="3"/>
        <v>4.3140000000000001</v>
      </c>
    </row>
    <row r="149" spans="6:13" ht="15.75" thickBot="1">
      <c r="F149" s="5">
        <v>1904000</v>
      </c>
      <c r="G149" s="7">
        <f t="shared" si="2"/>
        <v>1.9039999999999999</v>
      </c>
      <c r="K149" s="4">
        <v>2.4300000000000002</v>
      </c>
      <c r="L149" s="9">
        <v>1.9039999999999999</v>
      </c>
      <c r="M149">
        <f t="shared" si="3"/>
        <v>4.3339999999999996</v>
      </c>
    </row>
    <row r="150" spans="6:13" ht="15.75" thickBot="1">
      <c r="F150" s="5">
        <v>1904000</v>
      </c>
      <c r="G150" s="7">
        <f t="shared" si="2"/>
        <v>1.9039999999999999</v>
      </c>
      <c r="K150" s="4">
        <v>2.44</v>
      </c>
      <c r="L150" s="9">
        <v>1.9039999999999999</v>
      </c>
      <c r="M150">
        <f t="shared" si="3"/>
        <v>4.3439999999999994</v>
      </c>
    </row>
    <row r="151" spans="6:13" ht="15.75" thickBot="1">
      <c r="F151" s="5">
        <v>1904000</v>
      </c>
      <c r="G151" s="7">
        <f t="shared" si="2"/>
        <v>1.9039999999999999</v>
      </c>
      <c r="K151" s="4">
        <v>2.4500000000000002</v>
      </c>
      <c r="L151" s="9">
        <v>1.9039999999999999</v>
      </c>
      <c r="M151">
        <f t="shared" si="3"/>
        <v>4.3540000000000001</v>
      </c>
    </row>
    <row r="152" spans="6:13" ht="15.75" thickBot="1">
      <c r="F152" s="5">
        <v>1904000</v>
      </c>
      <c r="G152" s="7">
        <f t="shared" si="2"/>
        <v>1.9039999999999999</v>
      </c>
      <c r="K152" s="4">
        <v>2.4500000000000002</v>
      </c>
      <c r="L152" s="9">
        <v>1.9039999999999999</v>
      </c>
      <c r="M152">
        <f t="shared" si="3"/>
        <v>4.3540000000000001</v>
      </c>
    </row>
    <row r="153" spans="6:13" ht="15.75" thickBot="1">
      <c r="F153" s="5">
        <v>1904000</v>
      </c>
      <c r="G153" s="7">
        <f t="shared" si="2"/>
        <v>1.9039999999999999</v>
      </c>
      <c r="K153" s="4">
        <v>2.4500000000000002</v>
      </c>
      <c r="L153" s="9">
        <v>1.9039999999999999</v>
      </c>
      <c r="M153">
        <f t="shared" si="3"/>
        <v>4.3540000000000001</v>
      </c>
    </row>
    <row r="154" spans="6:13" ht="15.75" thickBot="1">
      <c r="F154" s="5">
        <v>1904000</v>
      </c>
      <c r="G154" s="7">
        <f t="shared" si="2"/>
        <v>1.9039999999999999</v>
      </c>
      <c r="K154" s="4">
        <v>2.4500000000000002</v>
      </c>
      <c r="L154" s="9">
        <v>1.9039999999999999</v>
      </c>
      <c r="M154">
        <f t="shared" si="3"/>
        <v>4.3540000000000001</v>
      </c>
    </row>
    <row r="155" spans="6:13" ht="15.75" thickBot="1">
      <c r="F155" s="5">
        <v>1904000</v>
      </c>
      <c r="G155" s="7">
        <f t="shared" si="2"/>
        <v>1.9039999999999999</v>
      </c>
      <c r="K155" s="4">
        <v>2.46</v>
      </c>
      <c r="L155" s="9">
        <v>1.9039999999999999</v>
      </c>
      <c r="M155">
        <f t="shared" si="3"/>
        <v>4.3639999999999999</v>
      </c>
    </row>
    <row r="156" spans="6:13" ht="15.75" thickBot="1">
      <c r="F156" s="5">
        <v>1904000</v>
      </c>
      <c r="G156" s="7">
        <f t="shared" si="2"/>
        <v>1.9039999999999999</v>
      </c>
      <c r="K156" s="4">
        <v>2.4700000000000002</v>
      </c>
      <c r="L156" s="9">
        <v>1.9039999999999999</v>
      </c>
      <c r="M156">
        <f t="shared" si="3"/>
        <v>4.3740000000000006</v>
      </c>
    </row>
    <row r="157" spans="6:13" ht="15.75" thickBot="1">
      <c r="F157" s="5">
        <v>1639000</v>
      </c>
      <c r="G157" s="7">
        <f t="shared" si="2"/>
        <v>1.639</v>
      </c>
      <c r="K157" s="4">
        <v>2.5</v>
      </c>
      <c r="L157" s="9">
        <v>1.9039999999999999</v>
      </c>
      <c r="M157">
        <f t="shared" si="3"/>
        <v>4.4039999999999999</v>
      </c>
    </row>
    <row r="158" spans="6:13" ht="15.75" thickBot="1">
      <c r="F158" s="5">
        <v>1238000</v>
      </c>
      <c r="G158" s="7">
        <f t="shared" si="2"/>
        <v>1.238</v>
      </c>
      <c r="K158" s="4">
        <v>2.62</v>
      </c>
      <c r="L158" s="9">
        <v>1.9039999999999999</v>
      </c>
      <c r="M158">
        <f t="shared" si="3"/>
        <v>4.524</v>
      </c>
    </row>
    <row r="159" spans="6:13" ht="15.75" thickBot="1">
      <c r="F159" s="5">
        <v>952100</v>
      </c>
      <c r="G159" s="7">
        <f t="shared" si="2"/>
        <v>0.95209999999999995</v>
      </c>
      <c r="K159" s="4">
        <v>2.86</v>
      </c>
      <c r="L159" s="9">
        <v>1.9039999999999999</v>
      </c>
      <c r="M159">
        <f t="shared" si="3"/>
        <v>4.7639999999999993</v>
      </c>
    </row>
    <row r="160" spans="6:13" ht="15.75" thickBot="1">
      <c r="F160" s="5">
        <v>673500</v>
      </c>
      <c r="G160" s="7">
        <f t="shared" si="2"/>
        <v>0.67349999999999999</v>
      </c>
      <c r="K160" s="4">
        <v>3.29</v>
      </c>
      <c r="L160" s="9">
        <v>1.9039999999999999</v>
      </c>
      <c r="M160">
        <f t="shared" si="3"/>
        <v>5.194</v>
      </c>
    </row>
    <row r="161" spans="6:13" ht="15.75" thickBot="1">
      <c r="F161" s="5">
        <v>465500</v>
      </c>
      <c r="G161" s="7">
        <f t="shared" si="2"/>
        <v>0.46550000000000002</v>
      </c>
      <c r="K161" s="4">
        <v>3.94</v>
      </c>
      <c r="L161" s="9">
        <v>1.9039999999999999</v>
      </c>
      <c r="M161">
        <f t="shared" si="3"/>
        <v>5.8439999999999994</v>
      </c>
    </row>
    <row r="162" spans="6:13" ht="15.75" thickBot="1">
      <c r="F162" s="5">
        <v>297200</v>
      </c>
      <c r="G162" s="7">
        <f t="shared" si="2"/>
        <v>0.29720000000000002</v>
      </c>
      <c r="K162" s="4">
        <v>5</v>
      </c>
      <c r="L162" s="9">
        <v>1.639</v>
      </c>
      <c r="M162">
        <f t="shared" si="3"/>
        <v>6.6390000000000002</v>
      </c>
    </row>
    <row r="163" spans="6:13" ht="15.75" thickBot="1">
      <c r="F163" s="5">
        <v>166700</v>
      </c>
      <c r="G163" s="7">
        <f t="shared" si="2"/>
        <v>0.16669999999999999</v>
      </c>
      <c r="K163" s="4">
        <v>5.75</v>
      </c>
      <c r="L163" s="9">
        <v>1.238</v>
      </c>
      <c r="M163">
        <f t="shared" si="3"/>
        <v>6.9879999999999995</v>
      </c>
    </row>
    <row r="164" spans="6:13" ht="15.75" thickBot="1">
      <c r="F164" s="5">
        <v>84890</v>
      </c>
      <c r="G164" s="7">
        <f t="shared" si="2"/>
        <v>8.4889999999999993E-2</v>
      </c>
      <c r="K164" s="4">
        <v>5.9</v>
      </c>
      <c r="L164" s="9">
        <v>0.95209999999999995</v>
      </c>
      <c r="M164">
        <f t="shared" si="3"/>
        <v>6.8521000000000001</v>
      </c>
    </row>
    <row r="165" spans="6:13" ht="15.75" thickBot="1">
      <c r="F165" s="5">
        <v>29660</v>
      </c>
      <c r="G165" s="7">
        <f t="shared" si="2"/>
        <v>2.9659999999999999E-2</v>
      </c>
      <c r="K165" s="4">
        <v>4.13</v>
      </c>
      <c r="L165" s="9">
        <v>0.67349999999999999</v>
      </c>
      <c r="M165">
        <f t="shared" si="3"/>
        <v>4.8034999999999997</v>
      </c>
    </row>
    <row r="166" spans="6:13" ht="15.75" thickBot="1">
      <c r="F166" s="5">
        <v>14400</v>
      </c>
      <c r="G166" s="7">
        <f t="shared" si="2"/>
        <v>1.44E-2</v>
      </c>
      <c r="K166" s="4">
        <v>2.93</v>
      </c>
      <c r="L166" s="9">
        <v>0.46550000000000002</v>
      </c>
      <c r="M166">
        <f t="shared" si="3"/>
        <v>3.3955000000000002</v>
      </c>
    </row>
    <row r="167" spans="6:13" ht="15.75" thickBot="1">
      <c r="F167" s="5">
        <v>8766</v>
      </c>
      <c r="G167" s="7">
        <f t="shared" si="2"/>
        <v>8.7659999999999995E-3</v>
      </c>
      <c r="K167" s="4">
        <v>1.86</v>
      </c>
      <c r="L167" s="9">
        <v>0.29720000000000002</v>
      </c>
      <c r="M167">
        <f t="shared" si="3"/>
        <v>2.1572</v>
      </c>
    </row>
    <row r="168" spans="6:13" ht="15.75" thickBot="1">
      <c r="F168" s="5">
        <v>6104</v>
      </c>
      <c r="G168" s="7">
        <f t="shared" si="2"/>
        <v>6.1040000000000001E-3</v>
      </c>
      <c r="K168" s="4">
        <v>1.03</v>
      </c>
      <c r="L168" s="9">
        <v>0.16669999999999999</v>
      </c>
      <c r="M168">
        <f t="shared" si="3"/>
        <v>1.1967000000000001</v>
      </c>
    </row>
    <row r="169" spans="6:13" ht="15.75" thickBot="1">
      <c r="F169" s="5">
        <v>4631</v>
      </c>
      <c r="G169" s="7">
        <f t="shared" si="2"/>
        <v>4.6309999999999997E-3</v>
      </c>
      <c r="K169" s="4">
        <v>0.52</v>
      </c>
      <c r="L169" s="9">
        <v>8.4900000000000003E-2</v>
      </c>
      <c r="M169">
        <f t="shared" si="3"/>
        <v>0.60489999999999999</v>
      </c>
    </row>
    <row r="170" spans="6:13" ht="15.75" thickBot="1">
      <c r="F170" s="5">
        <v>3699</v>
      </c>
      <c r="G170" s="7">
        <f t="shared" si="2"/>
        <v>3.699E-3</v>
      </c>
      <c r="K170" s="4">
        <v>0.18</v>
      </c>
      <c r="L170" s="9">
        <v>2.9700000000000001E-2</v>
      </c>
      <c r="M170">
        <f t="shared" si="3"/>
        <v>0.2097</v>
      </c>
    </row>
    <row r="171" spans="6:13" ht="15.75" thickBot="1">
      <c r="F171" s="5">
        <v>3051</v>
      </c>
      <c r="G171" s="7">
        <f t="shared" si="2"/>
        <v>3.0509999999999999E-3</v>
      </c>
      <c r="K171" s="4">
        <v>0.08</v>
      </c>
      <c r="L171" s="9">
        <v>1.44E-2</v>
      </c>
      <c r="M171">
        <f t="shared" si="3"/>
        <v>9.4399999999999998E-2</v>
      </c>
    </row>
    <row r="172" spans="6:13" ht="15.75" thickBot="1">
      <c r="F172" s="5">
        <v>2579</v>
      </c>
      <c r="G172" s="7">
        <f t="shared" si="2"/>
        <v>2.5790000000000001E-3</v>
      </c>
      <c r="K172" s="4">
        <v>0.05</v>
      </c>
      <c r="L172" s="9">
        <v>8.8000000000000005E-3</v>
      </c>
      <c r="M172">
        <f t="shared" si="3"/>
        <v>5.8800000000000005E-2</v>
      </c>
    </row>
    <row r="173" spans="6:13" ht="15.75" thickBot="1">
      <c r="F173" s="5">
        <v>2243</v>
      </c>
      <c r="G173" s="7">
        <f t="shared" si="2"/>
        <v>2.2430000000000002E-3</v>
      </c>
      <c r="K173" s="4">
        <v>0.03</v>
      </c>
      <c r="L173" s="9">
        <v>6.1000000000000004E-3</v>
      </c>
      <c r="M173">
        <f t="shared" si="3"/>
        <v>3.61E-2</v>
      </c>
    </row>
    <row r="174" spans="6:13" ht="15.75" thickBot="1">
      <c r="F174" s="5">
        <v>2009</v>
      </c>
      <c r="G174" s="7">
        <f t="shared" si="2"/>
        <v>2.0089999999999999E-3</v>
      </c>
      <c r="K174" s="4">
        <v>0.03</v>
      </c>
      <c r="L174" s="9">
        <v>4.5999999999999999E-3</v>
      </c>
      <c r="M174">
        <f t="shared" si="3"/>
        <v>3.4599999999999999E-2</v>
      </c>
    </row>
    <row r="175" spans="6:13" ht="15.75" thickBot="1">
      <c r="F175" s="5">
        <v>1840</v>
      </c>
      <c r="G175" s="7">
        <f t="shared" si="2"/>
        <v>1.8400000000000001E-3</v>
      </c>
      <c r="K175" s="4">
        <v>0.02</v>
      </c>
      <c r="L175" s="9">
        <v>3.7000000000000002E-3</v>
      </c>
      <c r="M175">
        <f t="shared" si="3"/>
        <v>2.3699999999999999E-2</v>
      </c>
    </row>
    <row r="176" spans="6:13" ht="15.75" thickBot="1">
      <c r="F176" s="5">
        <v>1695</v>
      </c>
      <c r="G176" s="7">
        <f t="shared" si="2"/>
        <v>1.6949999999999999E-3</v>
      </c>
      <c r="K176" s="4">
        <v>0.02</v>
      </c>
      <c r="L176" s="9">
        <v>3.0999999999999999E-3</v>
      </c>
      <c r="M176">
        <f t="shared" si="3"/>
        <v>2.3099999999999999E-2</v>
      </c>
    </row>
    <row r="177" spans="11:13" ht="15.75" thickBot="1">
      <c r="K177" s="4">
        <v>0.01</v>
      </c>
      <c r="L177" s="9">
        <v>2.5999999999999999E-3</v>
      </c>
      <c r="M177">
        <f t="shared" si="3"/>
        <v>1.26E-2</v>
      </c>
    </row>
    <row r="178" spans="11:13" ht="15.75" thickBot="1">
      <c r="K178" s="4">
        <v>0.01</v>
      </c>
      <c r="L178" s="9">
        <v>2.2000000000000001E-3</v>
      </c>
      <c r="M178">
        <f t="shared" si="3"/>
        <v>1.2200000000000001E-2</v>
      </c>
    </row>
    <row r="179" spans="11:13" ht="15.75" thickBot="1">
      <c r="K179" s="4">
        <v>0.01</v>
      </c>
      <c r="L179" s="9">
        <v>2E-3</v>
      </c>
      <c r="M179">
        <f t="shared" si="3"/>
        <v>1.2E-2</v>
      </c>
    </row>
    <row r="180" spans="11:13" ht="15.75" thickBot="1">
      <c r="K180" s="4">
        <v>0.01</v>
      </c>
      <c r="L180" s="9">
        <v>1.8E-3</v>
      </c>
      <c r="M180">
        <f t="shared" si="3"/>
        <v>1.18E-2</v>
      </c>
    </row>
    <row r="181" spans="11:13" ht="15.75" thickBot="1">
      <c r="K181" s="4">
        <v>0.01</v>
      </c>
      <c r="L181" s="9">
        <v>1.6999999999999999E-3</v>
      </c>
      <c r="M181">
        <f t="shared" si="3"/>
        <v>1.17E-2</v>
      </c>
    </row>
    <row r="210" spans="6:9" ht="15.75" thickBot="1"/>
    <row r="211" spans="6:9" ht="15.75" thickBot="1">
      <c r="F211" s="1">
        <v>0</v>
      </c>
      <c r="G211" s="12">
        <v>24.17</v>
      </c>
      <c r="H211" s="8">
        <v>0.47599999999999998</v>
      </c>
      <c r="I211" s="10">
        <f>G211+H211</f>
        <v>24.646000000000001</v>
      </c>
    </row>
    <row r="212" spans="6:9" ht="15.75" thickBot="1">
      <c r="F212" s="3">
        <v>1</v>
      </c>
      <c r="G212" s="13">
        <v>24.02</v>
      </c>
      <c r="H212" s="9">
        <v>1.9039999999999999</v>
      </c>
      <c r="I212" s="10">
        <f t="shared" ref="I212:I246" si="4">G212+H212</f>
        <v>25.923999999999999</v>
      </c>
    </row>
    <row r="213" spans="6:9" ht="15.75" thickBot="1">
      <c r="F213" s="3">
        <v>2</v>
      </c>
      <c r="G213" s="13">
        <v>24.13</v>
      </c>
      <c r="H213" s="9">
        <v>1.9039999999999999</v>
      </c>
      <c r="I213" s="10">
        <f t="shared" si="4"/>
        <v>26.033999999999999</v>
      </c>
    </row>
    <row r="214" spans="6:9" ht="15.75" thickBot="1">
      <c r="F214" s="3">
        <v>3</v>
      </c>
      <c r="G214" s="13">
        <v>24.27</v>
      </c>
      <c r="H214" s="9">
        <v>1.9039999999999999</v>
      </c>
      <c r="I214" s="10">
        <f t="shared" si="4"/>
        <v>26.173999999999999</v>
      </c>
    </row>
    <row r="215" spans="6:9" ht="15.75" thickBot="1">
      <c r="F215" s="3">
        <v>4</v>
      </c>
      <c r="G215" s="13">
        <v>24.39</v>
      </c>
      <c r="H215" s="9">
        <v>1.9039999999999999</v>
      </c>
      <c r="I215" s="10">
        <f t="shared" si="4"/>
        <v>26.294</v>
      </c>
    </row>
    <row r="216" spans="6:9" ht="15.75" thickBot="1">
      <c r="F216" s="3">
        <v>5</v>
      </c>
      <c r="G216" s="13">
        <v>24.48</v>
      </c>
      <c r="H216" s="9">
        <v>1.9039999999999999</v>
      </c>
      <c r="I216" s="10">
        <f t="shared" si="4"/>
        <v>26.384</v>
      </c>
    </row>
    <row r="217" spans="6:9" ht="15.75" thickBot="1">
      <c r="F217" s="3">
        <v>6</v>
      </c>
      <c r="G217" s="13">
        <v>24.53</v>
      </c>
      <c r="H217" s="9">
        <v>1.9039999999999999</v>
      </c>
      <c r="I217" s="10">
        <f t="shared" si="4"/>
        <v>26.434000000000001</v>
      </c>
    </row>
    <row r="218" spans="6:9" ht="15.75" thickBot="1">
      <c r="F218" s="3">
        <v>7</v>
      </c>
      <c r="G218" s="13">
        <v>24.53</v>
      </c>
      <c r="H218" s="9">
        <v>1.9039999999999999</v>
      </c>
      <c r="I218" s="10">
        <f t="shared" si="4"/>
        <v>26.434000000000001</v>
      </c>
    </row>
    <row r="219" spans="6:9" ht="15.75" thickBot="1">
      <c r="F219" s="3">
        <v>8</v>
      </c>
      <c r="G219" s="13">
        <v>24.53</v>
      </c>
      <c r="H219" s="9">
        <v>1.9039999999999999</v>
      </c>
      <c r="I219" s="10">
        <f t="shared" si="4"/>
        <v>26.434000000000001</v>
      </c>
    </row>
    <row r="220" spans="6:9" ht="15.75" thickBot="1">
      <c r="F220" s="3">
        <v>9</v>
      </c>
      <c r="G220" s="13">
        <v>24.58</v>
      </c>
      <c r="H220" s="9">
        <v>1.9039999999999999</v>
      </c>
      <c r="I220" s="10">
        <f t="shared" si="4"/>
        <v>26.483999999999998</v>
      </c>
    </row>
    <row r="221" spans="6:9" ht="15.75" thickBot="1">
      <c r="F221" s="3">
        <v>10</v>
      </c>
      <c r="G221" s="13">
        <v>24.67</v>
      </c>
      <c r="H221" s="9">
        <v>1.9039999999999999</v>
      </c>
      <c r="I221" s="10">
        <f t="shared" si="4"/>
        <v>26.574000000000002</v>
      </c>
    </row>
    <row r="222" spans="6:9" ht="15.75" thickBot="1">
      <c r="F222" s="3">
        <v>11</v>
      </c>
      <c r="G222" s="13">
        <v>25</v>
      </c>
      <c r="H222" s="9">
        <v>1.9039999999999999</v>
      </c>
      <c r="I222" s="10">
        <f t="shared" si="4"/>
        <v>26.904</v>
      </c>
    </row>
    <row r="223" spans="6:9" ht="15.75" thickBot="1">
      <c r="F223" s="3">
        <v>12</v>
      </c>
      <c r="G223" s="13">
        <v>26.21</v>
      </c>
      <c r="H223" s="9">
        <v>1.9039999999999999</v>
      </c>
      <c r="I223" s="10">
        <f t="shared" si="4"/>
        <v>28.114000000000001</v>
      </c>
    </row>
    <row r="224" spans="6:9" ht="15.75" thickBot="1">
      <c r="F224" s="3">
        <v>13</v>
      </c>
      <c r="G224" s="13">
        <v>28.61</v>
      </c>
      <c r="H224" s="9">
        <v>1.9039999999999999</v>
      </c>
      <c r="I224" s="10">
        <f t="shared" si="4"/>
        <v>30.513999999999999</v>
      </c>
    </row>
    <row r="225" spans="6:9" ht="15.75" thickBot="1">
      <c r="F225" s="3">
        <v>14</v>
      </c>
      <c r="G225" s="13">
        <v>32.869999999999997</v>
      </c>
      <c r="H225" s="9">
        <v>1.9039999999999999</v>
      </c>
      <c r="I225" s="10">
        <f t="shared" si="4"/>
        <v>34.774000000000001</v>
      </c>
    </row>
    <row r="226" spans="6:9" ht="15.75" thickBot="1">
      <c r="F226" s="3">
        <v>15</v>
      </c>
      <c r="G226" s="13">
        <v>39.380000000000003</v>
      </c>
      <c r="H226" s="9">
        <v>1.9039999999999999</v>
      </c>
      <c r="I226" s="10">
        <f t="shared" si="4"/>
        <v>41.284000000000006</v>
      </c>
    </row>
    <row r="227" spans="6:9" ht="15.75" thickBot="1">
      <c r="F227" s="3">
        <v>16</v>
      </c>
      <c r="G227" s="13">
        <v>50.03</v>
      </c>
      <c r="H227" s="9">
        <v>1.639</v>
      </c>
      <c r="I227" s="10">
        <f t="shared" si="4"/>
        <v>51.669000000000004</v>
      </c>
    </row>
    <row r="228" spans="6:9" ht="15.75" thickBot="1">
      <c r="F228" s="3">
        <v>17</v>
      </c>
      <c r="G228" s="13">
        <v>57.48</v>
      </c>
      <c r="H228" s="9">
        <v>1.238</v>
      </c>
      <c r="I228" s="10">
        <f t="shared" si="4"/>
        <v>58.717999999999996</v>
      </c>
    </row>
    <row r="229" spans="6:9" ht="15.75" thickBot="1">
      <c r="F229" s="3">
        <v>18</v>
      </c>
      <c r="G229" s="13">
        <v>58.95</v>
      </c>
      <c r="H229" s="9">
        <v>0.95209999999999995</v>
      </c>
      <c r="I229" s="10">
        <f t="shared" si="4"/>
        <v>59.902100000000004</v>
      </c>
    </row>
    <row r="230" spans="6:9" ht="15.75" thickBot="1">
      <c r="F230" s="3">
        <v>19</v>
      </c>
      <c r="G230" s="13">
        <v>41.26</v>
      </c>
      <c r="H230" s="9">
        <v>0.67349999999999999</v>
      </c>
      <c r="I230" s="10">
        <f t="shared" si="4"/>
        <v>41.933499999999995</v>
      </c>
    </row>
    <row r="231" spans="6:9" ht="15.75" thickBot="1">
      <c r="F231" s="3">
        <v>20</v>
      </c>
      <c r="G231" s="13">
        <v>29.26</v>
      </c>
      <c r="H231" s="9">
        <v>0.46550000000000002</v>
      </c>
      <c r="I231" s="10">
        <f t="shared" si="4"/>
        <v>29.7255</v>
      </c>
    </row>
    <row r="232" spans="6:9" ht="15.75" thickBot="1">
      <c r="F232" s="3">
        <v>21</v>
      </c>
      <c r="G232" s="13">
        <v>18.63</v>
      </c>
      <c r="H232" s="9">
        <v>0.29720000000000002</v>
      </c>
      <c r="I232" s="10">
        <f t="shared" si="4"/>
        <v>18.927199999999999</v>
      </c>
    </row>
    <row r="233" spans="6:9" ht="15.75" thickBot="1">
      <c r="F233" s="3">
        <v>22</v>
      </c>
      <c r="G233" s="13">
        <v>10.34</v>
      </c>
      <c r="H233" s="9">
        <v>0.16669999999999999</v>
      </c>
      <c r="I233" s="10">
        <f t="shared" si="4"/>
        <v>10.5067</v>
      </c>
    </row>
    <row r="234" spans="6:9" ht="15.75" thickBot="1">
      <c r="F234" s="3">
        <v>23</v>
      </c>
      <c r="G234" s="13">
        <v>5.2229999999999999</v>
      </c>
      <c r="H234" s="9">
        <v>8.4900000000000003E-2</v>
      </c>
      <c r="I234" s="10">
        <f t="shared" si="4"/>
        <v>5.3079000000000001</v>
      </c>
    </row>
    <row r="235" spans="6:9" ht="15.75" thickBot="1">
      <c r="F235" s="3">
        <v>24</v>
      </c>
      <c r="G235" s="13">
        <v>1.7949999999999999</v>
      </c>
      <c r="H235" s="9">
        <v>2.9700000000000001E-2</v>
      </c>
      <c r="I235" s="10">
        <f t="shared" si="4"/>
        <v>1.8247</v>
      </c>
    </row>
    <row r="236" spans="6:9" ht="15.75" thickBot="1">
      <c r="F236" s="3">
        <v>25</v>
      </c>
      <c r="G236" s="13">
        <v>0.83899999999999997</v>
      </c>
      <c r="H236" s="9">
        <v>1.44E-2</v>
      </c>
      <c r="I236" s="10">
        <f t="shared" si="4"/>
        <v>0.85339999999999994</v>
      </c>
    </row>
    <row r="237" spans="6:9" ht="15.75" thickBot="1">
      <c r="F237" s="3">
        <v>26</v>
      </c>
      <c r="G237" s="13">
        <v>0.497</v>
      </c>
      <c r="H237" s="9">
        <v>8.8000000000000005E-3</v>
      </c>
      <c r="I237" s="10">
        <f t="shared" si="4"/>
        <v>0.50580000000000003</v>
      </c>
    </row>
    <row r="238" spans="6:9" ht="15.75" thickBot="1">
      <c r="F238" s="3">
        <v>27</v>
      </c>
      <c r="G238" s="13">
        <v>0.33900000000000002</v>
      </c>
      <c r="H238" s="9">
        <v>6.1000000000000004E-3</v>
      </c>
      <c r="I238" s="10">
        <f t="shared" si="4"/>
        <v>0.34510000000000002</v>
      </c>
    </row>
    <row r="239" spans="6:9" ht="15.75" thickBot="1">
      <c r="F239" s="3">
        <v>28</v>
      </c>
      <c r="G239" s="13">
        <v>0.253</v>
      </c>
      <c r="H239" s="9">
        <v>4.5999999999999999E-3</v>
      </c>
      <c r="I239" s="10">
        <f t="shared" si="4"/>
        <v>0.2576</v>
      </c>
    </row>
    <row r="240" spans="6:9" ht="15.75" thickBot="1">
      <c r="F240" s="3">
        <v>29</v>
      </c>
      <c r="G240" s="13">
        <v>0.2</v>
      </c>
      <c r="H240" s="9">
        <v>3.7000000000000002E-3</v>
      </c>
      <c r="I240" s="10">
        <f t="shared" si="4"/>
        <v>0.20370000000000002</v>
      </c>
    </row>
    <row r="241" spans="6:12" ht="15.75" thickBot="1">
      <c r="F241" s="3">
        <v>30</v>
      </c>
      <c r="G241" s="13">
        <v>0.16300000000000001</v>
      </c>
      <c r="H241" s="9">
        <v>3.0999999999999999E-3</v>
      </c>
      <c r="I241" s="10">
        <f t="shared" si="4"/>
        <v>0.1661</v>
      </c>
    </row>
    <row r="242" spans="6:12" ht="15.75" thickBot="1">
      <c r="F242" s="3">
        <v>31</v>
      </c>
      <c r="G242" s="13">
        <v>0.13600000000000001</v>
      </c>
      <c r="H242" s="9">
        <v>2.5999999999999999E-3</v>
      </c>
      <c r="I242" s="10">
        <f t="shared" si="4"/>
        <v>0.1386</v>
      </c>
    </row>
    <row r="243" spans="6:12" ht="15.75" thickBot="1">
      <c r="F243" s="3">
        <v>32</v>
      </c>
      <c r="G243" s="13">
        <v>0.11799999999999999</v>
      </c>
      <c r="H243" s="9">
        <v>2.2000000000000001E-3</v>
      </c>
      <c r="I243" s="10">
        <f t="shared" si="4"/>
        <v>0.12019999999999999</v>
      </c>
    </row>
    <row r="244" spans="6:12" ht="15.75" thickBot="1">
      <c r="F244" s="3">
        <v>33</v>
      </c>
      <c r="G244" s="13">
        <v>0.105</v>
      </c>
      <c r="H244" s="9">
        <v>2E-3</v>
      </c>
      <c r="I244" s="10">
        <f t="shared" si="4"/>
        <v>0.107</v>
      </c>
    </row>
    <row r="245" spans="6:12" ht="15.75" thickBot="1">
      <c r="F245" s="3">
        <v>34</v>
      </c>
      <c r="G245" s="13">
        <v>9.5000000000000001E-2</v>
      </c>
      <c r="H245" s="9">
        <v>1.8E-3</v>
      </c>
      <c r="I245" s="10">
        <f t="shared" si="4"/>
        <v>9.6799999999999997E-2</v>
      </c>
    </row>
    <row r="246" spans="6:12" ht="15.75" thickBot="1">
      <c r="F246" s="3">
        <v>35</v>
      </c>
      <c r="G246" s="13">
        <v>8.6999999999999994E-2</v>
      </c>
      <c r="H246" s="9">
        <v>1.6999999999999999E-3</v>
      </c>
      <c r="I246" s="10">
        <f t="shared" si="4"/>
        <v>8.8699999999999987E-2</v>
      </c>
    </row>
    <row r="249" spans="6:12">
      <c r="K249" s="5">
        <v>24170000</v>
      </c>
      <c r="L249" s="11">
        <f>K249/1000000</f>
        <v>24.17</v>
      </c>
    </row>
    <row r="250" spans="6:12">
      <c r="K250" s="5">
        <v>24020000</v>
      </c>
      <c r="L250" s="11">
        <f t="shared" ref="L250:L284" si="5">K250/1000000</f>
        <v>24.02</v>
      </c>
    </row>
    <row r="251" spans="6:12">
      <c r="K251" s="5">
        <v>24130000</v>
      </c>
      <c r="L251" s="11">
        <f t="shared" si="5"/>
        <v>24.13</v>
      </c>
    </row>
    <row r="252" spans="6:12">
      <c r="K252" s="5">
        <v>24270000</v>
      </c>
      <c r="L252" s="11">
        <f t="shared" si="5"/>
        <v>24.27</v>
      </c>
    </row>
    <row r="253" spans="6:12">
      <c r="K253" s="5">
        <v>24390000</v>
      </c>
      <c r="L253" s="11">
        <f t="shared" si="5"/>
        <v>24.39</v>
      </c>
    </row>
    <row r="254" spans="6:12">
      <c r="K254" s="5">
        <v>24480000</v>
      </c>
      <c r="L254" s="11">
        <f t="shared" si="5"/>
        <v>24.48</v>
      </c>
    </row>
    <row r="255" spans="6:12">
      <c r="K255" s="5">
        <v>24530000</v>
      </c>
      <c r="L255" s="11">
        <f t="shared" si="5"/>
        <v>24.53</v>
      </c>
    </row>
    <row r="256" spans="6:12">
      <c r="K256" s="5">
        <v>24530000</v>
      </c>
      <c r="L256" s="11">
        <f t="shared" si="5"/>
        <v>24.53</v>
      </c>
    </row>
    <row r="257" spans="11:12">
      <c r="K257" s="5">
        <v>24530000</v>
      </c>
      <c r="L257" s="11">
        <f t="shared" si="5"/>
        <v>24.53</v>
      </c>
    </row>
    <row r="258" spans="11:12">
      <c r="K258" s="5">
        <v>24580000</v>
      </c>
      <c r="L258" s="11">
        <f t="shared" si="5"/>
        <v>24.58</v>
      </c>
    </row>
    <row r="259" spans="11:12">
      <c r="K259" s="5">
        <v>24670000</v>
      </c>
      <c r="L259" s="11">
        <f t="shared" si="5"/>
        <v>24.67</v>
      </c>
    </row>
    <row r="260" spans="11:12">
      <c r="K260" s="5">
        <v>25000000</v>
      </c>
      <c r="L260" s="11">
        <f t="shared" si="5"/>
        <v>25</v>
      </c>
    </row>
    <row r="261" spans="11:12">
      <c r="K261" s="5">
        <v>26210000</v>
      </c>
      <c r="L261" s="11">
        <f t="shared" si="5"/>
        <v>26.21</v>
      </c>
    </row>
    <row r="262" spans="11:12">
      <c r="K262" s="5">
        <v>28610000</v>
      </c>
      <c r="L262" s="11">
        <f t="shared" si="5"/>
        <v>28.61</v>
      </c>
    </row>
    <row r="263" spans="11:12">
      <c r="K263" s="5">
        <v>32870000</v>
      </c>
      <c r="L263" s="11">
        <f t="shared" si="5"/>
        <v>32.869999999999997</v>
      </c>
    </row>
    <row r="264" spans="11:12">
      <c r="K264" s="5">
        <v>39380000</v>
      </c>
      <c r="L264" s="11">
        <f t="shared" si="5"/>
        <v>39.380000000000003</v>
      </c>
    </row>
    <row r="265" spans="11:12">
      <c r="K265" s="5">
        <v>50030000</v>
      </c>
      <c r="L265" s="11">
        <f t="shared" si="5"/>
        <v>50.03</v>
      </c>
    </row>
    <row r="266" spans="11:12">
      <c r="K266" s="5">
        <v>57480000</v>
      </c>
      <c r="L266" s="11">
        <f t="shared" si="5"/>
        <v>57.48</v>
      </c>
    </row>
    <row r="267" spans="11:12">
      <c r="K267" s="5">
        <v>58950000</v>
      </c>
      <c r="L267" s="11">
        <f t="shared" si="5"/>
        <v>58.95</v>
      </c>
    </row>
    <row r="268" spans="11:12">
      <c r="K268" s="5">
        <v>41260000</v>
      </c>
      <c r="L268" s="11">
        <f t="shared" si="5"/>
        <v>41.26</v>
      </c>
    </row>
    <row r="269" spans="11:12">
      <c r="K269" s="5">
        <v>29260000</v>
      </c>
      <c r="L269" s="11">
        <f t="shared" si="5"/>
        <v>29.26</v>
      </c>
    </row>
    <row r="270" spans="11:12">
      <c r="K270" s="5">
        <v>18630000</v>
      </c>
      <c r="L270" s="11">
        <f t="shared" si="5"/>
        <v>18.63</v>
      </c>
    </row>
    <row r="271" spans="11:12">
      <c r="K271" s="5">
        <v>10340000</v>
      </c>
      <c r="L271" s="11">
        <f t="shared" si="5"/>
        <v>10.34</v>
      </c>
    </row>
    <row r="272" spans="11:12">
      <c r="K272" s="5">
        <v>5223000</v>
      </c>
      <c r="L272" s="11">
        <f t="shared" si="5"/>
        <v>5.2229999999999999</v>
      </c>
    </row>
    <row r="273" spans="11:12">
      <c r="K273" s="5">
        <v>1795000</v>
      </c>
      <c r="L273" s="11">
        <f t="shared" si="5"/>
        <v>1.7949999999999999</v>
      </c>
    </row>
    <row r="274" spans="11:12">
      <c r="K274" s="5">
        <v>838700</v>
      </c>
      <c r="L274" s="11">
        <f t="shared" si="5"/>
        <v>0.8387</v>
      </c>
    </row>
    <row r="275" spans="11:12">
      <c r="K275" s="5">
        <v>497100</v>
      </c>
      <c r="L275" s="11">
        <f t="shared" si="5"/>
        <v>0.49709999999999999</v>
      </c>
    </row>
    <row r="276" spans="11:12">
      <c r="K276" s="5">
        <v>339400</v>
      </c>
      <c r="L276" s="11">
        <f t="shared" si="5"/>
        <v>0.33939999999999998</v>
      </c>
    </row>
    <row r="277" spans="11:12">
      <c r="K277" s="5">
        <v>253400</v>
      </c>
      <c r="L277" s="11">
        <f t="shared" si="5"/>
        <v>0.25340000000000001</v>
      </c>
    </row>
    <row r="278" spans="11:12">
      <c r="K278" s="5">
        <v>199800</v>
      </c>
      <c r="L278" s="11">
        <f t="shared" si="5"/>
        <v>0.19980000000000001</v>
      </c>
    </row>
    <row r="279" spans="11:12">
      <c r="K279" s="5">
        <v>162800</v>
      </c>
      <c r="L279" s="11">
        <f t="shared" si="5"/>
        <v>0.1628</v>
      </c>
    </row>
    <row r="280" spans="11:12">
      <c r="K280" s="5">
        <v>136300</v>
      </c>
      <c r="L280" s="11">
        <f t="shared" si="5"/>
        <v>0.1363</v>
      </c>
    </row>
    <row r="281" spans="11:12">
      <c r="K281" s="5">
        <v>117600</v>
      </c>
      <c r="L281" s="11">
        <f t="shared" si="5"/>
        <v>0.1176</v>
      </c>
    </row>
    <row r="282" spans="11:12">
      <c r="K282" s="5">
        <v>104500</v>
      </c>
      <c r="L282" s="11">
        <f t="shared" si="5"/>
        <v>0.1045</v>
      </c>
    </row>
    <row r="283" spans="11:12">
      <c r="K283" s="5">
        <v>95200</v>
      </c>
      <c r="L283" s="11">
        <f t="shared" si="5"/>
        <v>9.5200000000000007E-2</v>
      </c>
    </row>
    <row r="284" spans="11:12">
      <c r="K284" s="5">
        <v>87200</v>
      </c>
      <c r="L284" s="11">
        <f t="shared" si="5"/>
        <v>8.72E-2</v>
      </c>
    </row>
    <row r="301" spans="6:28">
      <c r="F301">
        <v>245.5</v>
      </c>
    </row>
    <row r="302" spans="6:28">
      <c r="F302">
        <v>238.5</v>
      </c>
    </row>
    <row r="303" spans="6:28">
      <c r="F303">
        <v>231.5</v>
      </c>
      <c r="H303" s="14">
        <v>245.5</v>
      </c>
      <c r="I303" s="14">
        <v>238.5</v>
      </c>
      <c r="J303" s="14">
        <v>231.5</v>
      </c>
      <c r="K303" s="14">
        <v>224.5</v>
      </c>
      <c r="L303" s="14">
        <v>217.5</v>
      </c>
      <c r="M303" s="14">
        <v>210.5</v>
      </c>
      <c r="N303" s="14">
        <v>203.5</v>
      </c>
      <c r="O303" s="14">
        <v>196.5</v>
      </c>
      <c r="P303" s="14">
        <v>189.5</v>
      </c>
      <c r="Q303" s="14">
        <v>182.5</v>
      </c>
      <c r="R303" s="14">
        <v>175.5</v>
      </c>
      <c r="S303" s="14">
        <v>168.5</v>
      </c>
      <c r="T303" s="14">
        <v>161.5</v>
      </c>
      <c r="U303" s="14">
        <v>155</v>
      </c>
      <c r="V303" s="14">
        <v>149</v>
      </c>
      <c r="W303" s="14">
        <v>143</v>
      </c>
      <c r="X303">
        <v>137</v>
      </c>
      <c r="Y303">
        <v>131</v>
      </c>
      <c r="Z303">
        <v>125</v>
      </c>
      <c r="AA303">
        <v>119</v>
      </c>
      <c r="AB303">
        <v>113</v>
      </c>
    </row>
    <row r="304" spans="6:28">
      <c r="F304">
        <v>224.5</v>
      </c>
    </row>
    <row r="305" spans="6:18">
      <c r="F305">
        <v>217.5</v>
      </c>
    </row>
    <row r="306" spans="6:18">
      <c r="F306">
        <v>210.5</v>
      </c>
    </row>
    <row r="307" spans="6:18">
      <c r="F307">
        <v>203.5</v>
      </c>
    </row>
    <row r="308" spans="6:18">
      <c r="F308">
        <v>196.5</v>
      </c>
      <c r="R308" s="14">
        <v>1531</v>
      </c>
    </row>
    <row r="309" spans="6:18">
      <c r="F309">
        <v>189.5</v>
      </c>
      <c r="R309" s="14">
        <v>1598</v>
      </c>
    </row>
    <row r="310" spans="6:18">
      <c r="F310">
        <v>182.5</v>
      </c>
      <c r="R310" s="14">
        <v>1674</v>
      </c>
    </row>
    <row r="311" spans="6:18">
      <c r="F311">
        <v>175.5</v>
      </c>
      <c r="R311" s="14">
        <v>1757</v>
      </c>
    </row>
    <row r="312" spans="6:18">
      <c r="F312">
        <v>168.5</v>
      </c>
      <c r="R312" s="14">
        <v>1843</v>
      </c>
    </row>
    <row r="313" spans="6:18">
      <c r="F313">
        <v>161.5</v>
      </c>
      <c r="R313" s="14">
        <v>1925</v>
      </c>
    </row>
    <row r="314" spans="6:18">
      <c r="F314">
        <v>155</v>
      </c>
      <c r="R314" s="14">
        <v>1993</v>
      </c>
    </row>
    <row r="315" spans="6:18">
      <c r="F315">
        <v>149</v>
      </c>
      <c r="R315" s="14">
        <v>2034</v>
      </c>
    </row>
    <row r="316" spans="6:18">
      <c r="F316">
        <v>143</v>
      </c>
      <c r="R316" s="14">
        <v>2042</v>
      </c>
    </row>
    <row r="317" spans="6:18">
      <c r="F317">
        <v>137</v>
      </c>
      <c r="R317" s="14">
        <v>2019</v>
      </c>
    </row>
    <row r="318" spans="6:18">
      <c r="F318">
        <v>131</v>
      </c>
      <c r="R318" s="14">
        <v>1977</v>
      </c>
    </row>
    <row r="319" spans="6:18">
      <c r="F319">
        <v>125</v>
      </c>
      <c r="R319" s="14">
        <v>1925</v>
      </c>
    </row>
    <row r="320" spans="6:18">
      <c r="F320">
        <v>119</v>
      </c>
      <c r="R320" s="14">
        <v>1872</v>
      </c>
    </row>
    <row r="321" spans="6:30">
      <c r="F321">
        <v>113</v>
      </c>
      <c r="R321" s="14">
        <v>1825</v>
      </c>
    </row>
    <row r="322" spans="6:30">
      <c r="R322" s="14">
        <v>1786</v>
      </c>
    </row>
    <row r="323" spans="6:30">
      <c r="R323" s="14">
        <v>1751</v>
      </c>
    </row>
    <row r="324" spans="6:30">
      <c r="R324" s="14">
        <v>1719</v>
      </c>
    </row>
    <row r="325" spans="6:30">
      <c r="R325" s="14">
        <v>1691</v>
      </c>
    </row>
    <row r="326" spans="6:30">
      <c r="R326" s="14">
        <v>1666</v>
      </c>
    </row>
    <row r="327" spans="6:30">
      <c r="R327" s="14">
        <v>1645</v>
      </c>
    </row>
    <row r="328" spans="6:30">
      <c r="R328" s="14">
        <v>1629</v>
      </c>
    </row>
    <row r="329" spans="6:30">
      <c r="R329" s="14"/>
    </row>
    <row r="331" spans="6:30">
      <c r="J331" s="14">
        <v>1531</v>
      </c>
      <c r="K331" s="14">
        <v>1598</v>
      </c>
      <c r="L331" s="14">
        <v>1674</v>
      </c>
      <c r="M331" s="14">
        <v>1757</v>
      </c>
      <c r="N331" s="14">
        <v>1843</v>
      </c>
      <c r="O331" s="14">
        <v>1925</v>
      </c>
      <c r="P331" s="14">
        <v>1993</v>
      </c>
      <c r="Q331" s="14">
        <v>2034</v>
      </c>
      <c r="R331" s="14">
        <v>2042</v>
      </c>
      <c r="S331" s="14">
        <v>2019</v>
      </c>
      <c r="T331" s="14">
        <v>1977</v>
      </c>
      <c r="U331" s="14">
        <v>1925</v>
      </c>
      <c r="V331" s="14">
        <v>1872</v>
      </c>
      <c r="W331" s="14">
        <v>1825</v>
      </c>
      <c r="X331" s="14">
        <v>1786</v>
      </c>
      <c r="Y331" s="14">
        <v>1751</v>
      </c>
      <c r="Z331" s="14">
        <v>1719</v>
      </c>
      <c r="AA331" s="14">
        <v>1691</v>
      </c>
      <c r="AB331" s="14">
        <v>1666</v>
      </c>
      <c r="AC331" s="14">
        <v>1645</v>
      </c>
      <c r="AD331" s="14">
        <v>1629</v>
      </c>
    </row>
    <row r="338" spans="16:41">
      <c r="P338" s="15">
        <v>5.556</v>
      </c>
    </row>
    <row r="339" spans="16:41">
      <c r="P339" s="15">
        <v>5.4690000000000003</v>
      </c>
    </row>
    <row r="340" spans="16:41">
      <c r="P340" s="15">
        <v>5.2469999999999999</v>
      </c>
    </row>
    <row r="341" spans="16:41">
      <c r="P341" s="15">
        <v>5.024</v>
      </c>
      <c r="T341" s="15">
        <v>5.556</v>
      </c>
      <c r="U341" s="15">
        <v>5.4690000000000003</v>
      </c>
      <c r="V341" s="15">
        <v>5.2469999999999999</v>
      </c>
      <c r="W341" s="15">
        <v>5.024</v>
      </c>
      <c r="X341" s="15">
        <v>4.8099999999999996</v>
      </c>
      <c r="Y341" s="15">
        <v>4.617</v>
      </c>
      <c r="Z341" s="15">
        <v>4.4640000000000004</v>
      </c>
      <c r="AA341" s="15">
        <v>4.3730000000000002</v>
      </c>
      <c r="AB341" s="15">
        <v>4.3600000000000003</v>
      </c>
      <c r="AC341" s="15">
        <v>4.4210000000000003</v>
      </c>
      <c r="AD341" s="15">
        <v>4.5389999999999997</v>
      </c>
      <c r="AE341" s="15">
        <v>4.7640000000000002</v>
      </c>
      <c r="AF341" s="15">
        <v>5.1289999999999996</v>
      </c>
      <c r="AG341" s="15">
        <v>5.6779999999999999</v>
      </c>
      <c r="AH341" s="15">
        <v>6.4390000000000001</v>
      </c>
      <c r="AI341" s="15">
        <v>7.0730000000000004</v>
      </c>
    </row>
    <row r="342" spans="16:41">
      <c r="P342" s="15">
        <v>4.8099999999999996</v>
      </c>
    </row>
    <row r="343" spans="16:41">
      <c r="P343" s="15">
        <v>4.617</v>
      </c>
    </row>
    <row r="344" spans="16:41">
      <c r="P344" s="15">
        <v>4.4640000000000004</v>
      </c>
    </row>
    <row r="345" spans="16:41">
      <c r="P345" s="15">
        <v>4.3730000000000002</v>
      </c>
      <c r="U345" s="14">
        <v>228.828</v>
      </c>
    </row>
    <row r="346" spans="16:41">
      <c r="P346" s="15">
        <v>4.3600000000000003</v>
      </c>
      <c r="U346" s="14">
        <v>223.27199999999999</v>
      </c>
    </row>
    <row r="347" spans="16:41">
      <c r="P347" s="15">
        <v>4.4210000000000003</v>
      </c>
      <c r="U347" s="14">
        <v>217.803</v>
      </c>
    </row>
    <row r="348" spans="16:41">
      <c r="P348" s="15">
        <v>4.5389999999999997</v>
      </c>
      <c r="U348" s="14">
        <v>212.55600000000001</v>
      </c>
      <c r="Z348" s="14">
        <v>228.828</v>
      </c>
      <c r="AA348" s="14">
        <v>223.27199999999999</v>
      </c>
      <c r="AB348" s="14">
        <v>217.803</v>
      </c>
      <c r="AC348" s="14">
        <v>212.55600000000001</v>
      </c>
      <c r="AD348" s="14">
        <v>207.53200000000001</v>
      </c>
      <c r="AE348" s="14">
        <v>202.72200000000001</v>
      </c>
      <c r="AF348" s="14">
        <v>198.10499999999999</v>
      </c>
      <c r="AG348" s="14">
        <v>193.64099999999999</v>
      </c>
      <c r="AH348" s="14">
        <v>189.268</v>
      </c>
      <c r="AI348" s="14">
        <v>184.90799999999999</v>
      </c>
      <c r="AJ348" s="14">
        <v>180.48699999999999</v>
      </c>
      <c r="AK348" s="14">
        <v>175.94900000000001</v>
      </c>
      <c r="AL348" s="14">
        <v>171.185</v>
      </c>
      <c r="AM348" s="14">
        <v>166.05600000000001</v>
      </c>
      <c r="AN348" s="14">
        <v>160.37799999999999</v>
      </c>
      <c r="AO348" s="14">
        <v>153.93799999999999</v>
      </c>
    </row>
    <row r="349" spans="16:41">
      <c r="P349" s="15">
        <v>4.7640000000000002</v>
      </c>
      <c r="U349" s="14">
        <v>207.53200000000001</v>
      </c>
    </row>
    <row r="350" spans="16:41">
      <c r="P350" s="15">
        <v>5.1289999999999996</v>
      </c>
      <c r="U350" s="14">
        <v>202.72200000000001</v>
      </c>
    </row>
    <row r="351" spans="16:41">
      <c r="P351" s="15">
        <v>5.6779999999999999</v>
      </c>
      <c r="U351" s="14">
        <v>198.10499999999999</v>
      </c>
    </row>
    <row r="352" spans="16:41">
      <c r="P352" s="15">
        <v>6.4390000000000001</v>
      </c>
      <c r="U352" s="14">
        <v>193.64099999999999</v>
      </c>
    </row>
    <row r="353" spans="16:46">
      <c r="P353" s="15">
        <v>7.0730000000000004</v>
      </c>
      <c r="U353" s="14">
        <v>189.268</v>
      </c>
    </row>
    <row r="354" spans="16:46">
      <c r="U354" s="14">
        <v>184.90799999999999</v>
      </c>
    </row>
    <row r="355" spans="16:46">
      <c r="U355" s="14">
        <v>180.48699999999999</v>
      </c>
    </row>
    <row r="356" spans="16:46">
      <c r="U356" s="14">
        <v>175.94900000000001</v>
      </c>
    </row>
    <row r="357" spans="16:46">
      <c r="U357" s="14">
        <v>171.185</v>
      </c>
    </row>
    <row r="358" spans="16:46">
      <c r="U358" s="14">
        <v>166.05600000000001</v>
      </c>
      <c r="W358" s="14">
        <v>1738</v>
      </c>
    </row>
    <row r="359" spans="16:46">
      <c r="U359" s="14">
        <v>160.37799999999999</v>
      </c>
      <c r="W359" s="14">
        <v>1805</v>
      </c>
    </row>
    <row r="360" spans="16:46">
      <c r="U360" s="14">
        <v>153.93799999999999</v>
      </c>
      <c r="W360" s="14">
        <v>1871</v>
      </c>
    </row>
    <row r="361" spans="16:46">
      <c r="W361" s="14">
        <v>1930</v>
      </c>
    </row>
    <row r="362" spans="16:46">
      <c r="W362" s="14">
        <v>1979</v>
      </c>
    </row>
    <row r="363" spans="16:46">
      <c r="W363" s="14">
        <v>2015</v>
      </c>
    </row>
    <row r="364" spans="16:46">
      <c r="W364" s="14">
        <v>2036</v>
      </c>
      <c r="Z364" s="14">
        <v>1738</v>
      </c>
      <c r="AA364" s="14">
        <v>1805</v>
      </c>
      <c r="AB364" s="14">
        <v>1871</v>
      </c>
      <c r="AC364" s="14">
        <v>1930</v>
      </c>
      <c r="AD364" s="14">
        <v>1979</v>
      </c>
      <c r="AE364" s="14">
        <v>2015</v>
      </c>
      <c r="AF364" s="14">
        <v>2036</v>
      </c>
      <c r="AG364" s="14">
        <v>2043</v>
      </c>
      <c r="AH364" s="14">
        <v>2037</v>
      </c>
      <c r="AI364" s="14">
        <v>2020</v>
      </c>
      <c r="AJ364" s="14">
        <v>1995</v>
      </c>
      <c r="AK364" s="14">
        <v>1963</v>
      </c>
      <c r="AL364" s="14">
        <v>1926</v>
      </c>
      <c r="AM364" s="14">
        <v>1885</v>
      </c>
      <c r="AN364" s="14">
        <v>1840</v>
      </c>
      <c r="AO364" s="14">
        <v>1795</v>
      </c>
      <c r="AP364" s="14">
        <v>1753</v>
      </c>
      <c r="AQ364" s="14">
        <v>1714</v>
      </c>
      <c r="AR364" s="14">
        <v>1681</v>
      </c>
      <c r="AS364" s="14">
        <v>1656</v>
      </c>
      <c r="AT364" s="14">
        <v>1632</v>
      </c>
    </row>
    <row r="365" spans="16:46">
      <c r="W365" s="14">
        <v>2043</v>
      </c>
    </row>
    <row r="366" spans="16:46">
      <c r="W366" s="14">
        <v>2037</v>
      </c>
    </row>
    <row r="367" spans="16:46">
      <c r="W367" s="14">
        <v>2020</v>
      </c>
    </row>
    <row r="368" spans="16:46">
      <c r="W368" s="14">
        <v>1995</v>
      </c>
    </row>
    <row r="369" spans="23:51">
      <c r="W369" s="14">
        <v>1963</v>
      </c>
    </row>
    <row r="370" spans="23:51">
      <c r="W370" s="14">
        <v>1926</v>
      </c>
    </row>
    <row r="371" spans="23:51">
      <c r="W371" s="14">
        <v>1885</v>
      </c>
    </row>
    <row r="372" spans="23:51">
      <c r="W372" s="14">
        <v>1840</v>
      </c>
      <c r="AE372" s="15">
        <v>4.8259999999999996</v>
      </c>
      <c r="AF372" s="15">
        <v>4.6260000000000003</v>
      </c>
      <c r="AG372" s="15">
        <v>4.2030000000000003</v>
      </c>
      <c r="AH372" s="15">
        <v>3.5219999999999998</v>
      </c>
      <c r="AI372" s="15">
        <v>2.6349999999999998</v>
      </c>
      <c r="AJ372" s="15">
        <v>1.66</v>
      </c>
      <c r="AK372" s="15">
        <v>0.77100000000000002</v>
      </c>
      <c r="AL372" s="15">
        <v>0.16200000000000001</v>
      </c>
      <c r="AM372" s="15">
        <v>8.3000000000000004E-2</v>
      </c>
      <c r="AN372" s="15">
        <v>1.7000000000000001E-2</v>
      </c>
      <c r="AO372" s="15">
        <v>0.32900000000000001</v>
      </c>
      <c r="AP372" s="15">
        <v>0.70699999999999996</v>
      </c>
      <c r="AQ372" s="15">
        <v>1.026</v>
      </c>
      <c r="AR372" s="15">
        <v>1.155</v>
      </c>
      <c r="AS372" s="15">
        <v>1.08</v>
      </c>
      <c r="AT372" s="15">
        <v>0.90100000000000002</v>
      </c>
      <c r="AU372" s="15">
        <v>0.70499999999999996</v>
      </c>
      <c r="AV372" s="15">
        <v>0.47299999999999998</v>
      </c>
      <c r="AW372" s="15">
        <v>0.30499999999999999</v>
      </c>
      <c r="AX372" s="15">
        <v>0.221</v>
      </c>
      <c r="AY372" s="15">
        <v>7.4999999999999997E-2</v>
      </c>
    </row>
    <row r="373" spans="23:51">
      <c r="W373" s="14">
        <v>1795</v>
      </c>
    </row>
    <row r="374" spans="23:51">
      <c r="W374" s="14">
        <v>1753</v>
      </c>
    </row>
    <row r="375" spans="23:51">
      <c r="W375" s="14">
        <v>1714</v>
      </c>
    </row>
    <row r="376" spans="23:51">
      <c r="W376" s="14">
        <v>1681</v>
      </c>
    </row>
    <row r="377" spans="23:51">
      <c r="W377" s="14">
        <v>1656</v>
      </c>
      <c r="AJ377">
        <v>4.8259999999999996</v>
      </c>
    </row>
    <row r="378" spans="23:51">
      <c r="W378" s="14">
        <v>1632</v>
      </c>
      <c r="AJ378">
        <v>4.6260000000000003</v>
      </c>
    </row>
    <row r="379" spans="23:51">
      <c r="AJ379">
        <v>4.2030000000000003</v>
      </c>
    </row>
    <row r="380" spans="23:51">
      <c r="AJ380">
        <v>3.5219999999999998</v>
      </c>
    </row>
    <row r="381" spans="23:51">
      <c r="AJ381">
        <v>2.6349999999999998</v>
      </c>
    </row>
    <row r="382" spans="23:51">
      <c r="AJ382">
        <v>1.66</v>
      </c>
      <c r="AP382" s="14">
        <v>226.05</v>
      </c>
    </row>
    <row r="383" spans="23:51">
      <c r="AJ383">
        <v>0.77100000000000002</v>
      </c>
      <c r="AP383" s="14">
        <v>220.54</v>
      </c>
    </row>
    <row r="384" spans="23:51">
      <c r="AJ384">
        <v>0.16200000000000001</v>
      </c>
      <c r="AP384" s="14">
        <v>215.18</v>
      </c>
    </row>
    <row r="385" spans="36:42">
      <c r="AJ385">
        <v>8.3000000000000004E-2</v>
      </c>
      <c r="AP385" s="14">
        <v>210.04</v>
      </c>
    </row>
    <row r="386" spans="36:42">
      <c r="AJ386">
        <v>1.7000000000000001E-2</v>
      </c>
      <c r="AP386" s="14">
        <v>205.13</v>
      </c>
    </row>
    <row r="387" spans="36:42">
      <c r="AJ387">
        <v>0.32900000000000001</v>
      </c>
      <c r="AP387" s="14">
        <v>200.41</v>
      </c>
    </row>
    <row r="388" spans="36:42">
      <c r="AJ388">
        <v>0.70699999999999996</v>
      </c>
      <c r="AP388" s="14">
        <v>195.87</v>
      </c>
    </row>
    <row r="389" spans="36:42">
      <c r="AJ389">
        <v>1.026</v>
      </c>
      <c r="AP389" s="14">
        <v>191.45</v>
      </c>
    </row>
    <row r="390" spans="36:42">
      <c r="AJ390">
        <v>1.155</v>
      </c>
      <c r="AP390" s="14">
        <v>187.09</v>
      </c>
    </row>
    <row r="391" spans="36:42">
      <c r="AJ391">
        <v>1.08</v>
      </c>
      <c r="AP391" s="14">
        <v>182.7</v>
      </c>
    </row>
    <row r="392" spans="36:42">
      <c r="AJ392">
        <v>0.90100000000000002</v>
      </c>
      <c r="AP392" s="14">
        <v>178.22</v>
      </c>
    </row>
    <row r="393" spans="36:42">
      <c r="AJ393">
        <v>0.70499999999999996</v>
      </c>
      <c r="AP393" s="14">
        <v>173.57</v>
      </c>
    </row>
    <row r="394" spans="36:42">
      <c r="AJ394">
        <v>0.47299999999999998</v>
      </c>
      <c r="AP394" s="14">
        <v>168.62</v>
      </c>
    </row>
    <row r="395" spans="36:42">
      <c r="AJ395">
        <v>0.30499999999999999</v>
      </c>
      <c r="AP395" s="14">
        <v>163.22</v>
      </c>
    </row>
    <row r="396" spans="36:42">
      <c r="AJ396">
        <v>0.221</v>
      </c>
      <c r="AP396" s="14">
        <v>157.16</v>
      </c>
    </row>
    <row r="397" spans="36:42">
      <c r="AJ397">
        <v>7.4999999999999997E-2</v>
      </c>
      <c r="AP397" s="14">
        <v>150.4</v>
      </c>
    </row>
    <row r="398" spans="36:42">
      <c r="AP398" s="14">
        <v>143.4</v>
      </c>
    </row>
    <row r="399" spans="36:42">
      <c r="AP399" s="14">
        <v>135.82</v>
      </c>
    </row>
    <row r="400" spans="36:42">
      <c r="AP400" s="14">
        <v>128.56</v>
      </c>
    </row>
    <row r="401" spans="33:53">
      <c r="AP401" s="14">
        <v>122.05</v>
      </c>
    </row>
    <row r="402" spans="33:53">
      <c r="AP402" s="14">
        <v>114.34</v>
      </c>
    </row>
    <row r="404" spans="33:53">
      <c r="AG404" s="14">
        <v>226.05</v>
      </c>
      <c r="AH404" s="14">
        <v>220.54</v>
      </c>
      <c r="AI404" s="14">
        <v>215.18</v>
      </c>
      <c r="AJ404" s="14">
        <v>210.04</v>
      </c>
      <c r="AK404" s="14">
        <v>205.13</v>
      </c>
      <c r="AL404" s="14">
        <v>200.41</v>
      </c>
      <c r="AM404" s="14">
        <v>195.87</v>
      </c>
      <c r="AN404" s="14">
        <v>191.45</v>
      </c>
      <c r="AO404" s="14">
        <v>187.09</v>
      </c>
      <c r="AP404" s="14">
        <v>182.7</v>
      </c>
      <c r="AQ404" s="14">
        <v>178.22</v>
      </c>
      <c r="AR404" s="14">
        <v>173.57</v>
      </c>
      <c r="AS404" s="14">
        <v>168.62</v>
      </c>
      <c r="AT404" s="14">
        <v>163.22</v>
      </c>
      <c r="AU404" s="14">
        <v>157.16</v>
      </c>
      <c r="AV404" s="14">
        <v>150.4</v>
      </c>
      <c r="AW404" s="14">
        <v>143.4</v>
      </c>
      <c r="AX404" s="14">
        <v>135.82</v>
      </c>
      <c r="AY404" s="14">
        <v>128.56</v>
      </c>
      <c r="AZ404" s="14">
        <v>122.05</v>
      </c>
      <c r="BA404" s="14">
        <v>114.34</v>
      </c>
    </row>
    <row r="411" spans="33:53">
      <c r="AP411">
        <v>120</v>
      </c>
    </row>
    <row r="412" spans="33:53">
      <c r="AP412">
        <v>120</v>
      </c>
    </row>
    <row r="413" spans="33:53">
      <c r="AP413">
        <v>120</v>
      </c>
    </row>
    <row r="414" spans="33:53">
      <c r="AP414">
        <v>120</v>
      </c>
    </row>
    <row r="415" spans="33:53">
      <c r="AP415">
        <v>120</v>
      </c>
    </row>
    <row r="416" spans="33:53">
      <c r="AP416">
        <v>120</v>
      </c>
    </row>
    <row r="417" spans="42:48">
      <c r="AP417">
        <v>120</v>
      </c>
    </row>
    <row r="418" spans="42:48">
      <c r="AP418">
        <v>120</v>
      </c>
    </row>
    <row r="419" spans="42:48">
      <c r="AP419">
        <v>120</v>
      </c>
    </row>
    <row r="420" spans="42:48">
      <c r="AP420">
        <v>120</v>
      </c>
    </row>
    <row r="421" spans="42:48">
      <c r="AP421">
        <v>120</v>
      </c>
    </row>
    <row r="422" spans="42:48">
      <c r="AP422">
        <v>120</v>
      </c>
    </row>
    <row r="423" spans="42:48">
      <c r="AP423">
        <v>120</v>
      </c>
      <c r="AS423">
        <v>2.88</v>
      </c>
    </row>
    <row r="424" spans="42:48">
      <c r="AP424">
        <v>120</v>
      </c>
      <c r="AS424">
        <v>2.88</v>
      </c>
    </row>
    <row r="425" spans="42:48">
      <c r="AP425">
        <v>120</v>
      </c>
      <c r="AS425">
        <v>2.88</v>
      </c>
      <c r="AV425">
        <v>2.88</v>
      </c>
    </row>
    <row r="426" spans="42:48">
      <c r="AP426">
        <v>100</v>
      </c>
      <c r="AS426">
        <v>2.88</v>
      </c>
      <c r="AV426">
        <v>2.88</v>
      </c>
    </row>
    <row r="427" spans="42:48">
      <c r="AP427">
        <v>100</v>
      </c>
      <c r="AS427">
        <v>2.88</v>
      </c>
      <c r="AV427">
        <v>2.88</v>
      </c>
    </row>
    <row r="428" spans="42:48">
      <c r="AP428">
        <v>100</v>
      </c>
      <c r="AS428">
        <v>2.88</v>
      </c>
      <c r="AV428">
        <v>2.88</v>
      </c>
    </row>
    <row r="429" spans="42:48">
      <c r="AP429">
        <v>100</v>
      </c>
      <c r="AS429">
        <v>2.88</v>
      </c>
      <c r="AV429">
        <v>2.88</v>
      </c>
    </row>
    <row r="430" spans="42:48">
      <c r="AP430">
        <v>100</v>
      </c>
      <c r="AS430">
        <v>2.88</v>
      </c>
      <c r="AV430">
        <v>2.88</v>
      </c>
    </row>
    <row r="431" spans="42:48">
      <c r="AP431">
        <v>100</v>
      </c>
      <c r="AS431">
        <v>2.88</v>
      </c>
      <c r="AV431">
        <v>2.88</v>
      </c>
    </row>
    <row r="432" spans="42:48">
      <c r="AP432">
        <v>100</v>
      </c>
      <c r="AS432">
        <v>2.88</v>
      </c>
      <c r="AV432">
        <v>2.88</v>
      </c>
    </row>
    <row r="433" spans="42:48">
      <c r="AP433">
        <v>1</v>
      </c>
      <c r="AS433">
        <v>2.88</v>
      </c>
      <c r="AV433">
        <v>2.88</v>
      </c>
    </row>
    <row r="434" spans="42:48">
      <c r="AP434">
        <v>1</v>
      </c>
      <c r="AS434">
        <v>2.8639999999999999</v>
      </c>
      <c r="AV434">
        <v>2.88</v>
      </c>
    </row>
    <row r="435" spans="42:48">
      <c r="AP435">
        <v>160</v>
      </c>
      <c r="AS435">
        <v>2.79</v>
      </c>
      <c r="AV435">
        <v>2.88</v>
      </c>
    </row>
    <row r="436" spans="42:48">
      <c r="AP436">
        <v>600</v>
      </c>
      <c r="AS436">
        <v>2.657</v>
      </c>
      <c r="AV436">
        <v>2.8639999999999999</v>
      </c>
    </row>
    <row r="437" spans="42:48">
      <c r="AP437">
        <v>600</v>
      </c>
      <c r="AS437">
        <v>2.4580000000000002</v>
      </c>
      <c r="AV437">
        <v>2.79</v>
      </c>
    </row>
    <row r="438" spans="42:48">
      <c r="AP438">
        <v>600</v>
      </c>
      <c r="AS438">
        <v>2.6219999999999999</v>
      </c>
      <c r="AV438">
        <v>2.657</v>
      </c>
    </row>
    <row r="439" spans="42:48">
      <c r="AP439">
        <v>600</v>
      </c>
      <c r="AS439">
        <v>2.2789999999999999</v>
      </c>
      <c r="AV439">
        <v>2.4580000000000002</v>
      </c>
    </row>
    <row r="440" spans="42:48">
      <c r="AP440">
        <v>600</v>
      </c>
      <c r="AS440">
        <v>2.0910000000000002</v>
      </c>
      <c r="AV440">
        <v>2.9140000000000001</v>
      </c>
    </row>
    <row r="441" spans="42:48">
      <c r="AP441">
        <v>600</v>
      </c>
      <c r="AS441">
        <v>2.0419999999999998</v>
      </c>
      <c r="AV441">
        <v>2.532</v>
      </c>
    </row>
    <row r="442" spans="42:48">
      <c r="AP442">
        <v>600</v>
      </c>
      <c r="AS442">
        <v>2.3980000000000001</v>
      </c>
      <c r="AV442">
        <v>2.3239999999999998</v>
      </c>
    </row>
    <row r="443" spans="42:48">
      <c r="AP443">
        <v>600</v>
      </c>
      <c r="AS443">
        <v>2.8530000000000002</v>
      </c>
      <c r="AV443">
        <v>2.2690000000000001</v>
      </c>
    </row>
    <row r="444" spans="42:48">
      <c r="AP444">
        <v>600</v>
      </c>
      <c r="AS444">
        <v>3.5310000000000001</v>
      </c>
      <c r="AV444">
        <v>2.665</v>
      </c>
    </row>
    <row r="445" spans="42:48">
      <c r="AP445">
        <v>600</v>
      </c>
      <c r="AV445">
        <v>3.17</v>
      </c>
    </row>
    <row r="446" spans="42:48">
      <c r="AP446">
        <v>600</v>
      </c>
    </row>
    <row r="449" spans="39:44">
      <c r="AM449" s="14">
        <v>1705</v>
      </c>
    </row>
    <row r="450" spans="39:44">
      <c r="AM450" s="14">
        <v>1772</v>
      </c>
    </row>
    <row r="451" spans="39:44">
      <c r="AM451" s="14">
        <v>1839</v>
      </c>
      <c r="AQ451" s="5">
        <v>2.711E-5</v>
      </c>
      <c r="AR451" s="6">
        <f>AQ451*100000</f>
        <v>2.7109999999999999</v>
      </c>
    </row>
    <row r="452" spans="39:44">
      <c r="AM452" s="14">
        <v>1902</v>
      </c>
      <c r="AQ452" s="5">
        <v>2.775E-5</v>
      </c>
      <c r="AR452" s="6">
        <f t="shared" ref="AR452:AR472" si="6">AQ452*100000</f>
        <v>2.7749999999999999</v>
      </c>
    </row>
    <row r="453" spans="39:44">
      <c r="AM453" s="14">
        <v>1956</v>
      </c>
      <c r="AQ453" s="5">
        <v>2.8580000000000001E-5</v>
      </c>
      <c r="AR453" s="6">
        <f t="shared" si="6"/>
        <v>2.8580000000000001</v>
      </c>
    </row>
    <row r="454" spans="39:44">
      <c r="AM454" s="14">
        <v>1999</v>
      </c>
      <c r="AQ454" s="5">
        <v>2.9600000000000001E-5</v>
      </c>
      <c r="AR454" s="6">
        <f t="shared" si="6"/>
        <v>2.96</v>
      </c>
    </row>
    <row r="455" spans="39:44">
      <c r="AM455" s="14">
        <v>2027</v>
      </c>
      <c r="AQ455" s="5">
        <v>3.0849999999999998E-5</v>
      </c>
      <c r="AR455" s="6">
        <f t="shared" si="6"/>
        <v>3.085</v>
      </c>
    </row>
    <row r="456" spans="39:44">
      <c r="AM456" s="14">
        <v>2041</v>
      </c>
      <c r="AQ456" s="5">
        <v>3.2360000000000002E-5</v>
      </c>
      <c r="AR456" s="6">
        <f t="shared" si="6"/>
        <v>3.2360000000000002</v>
      </c>
    </row>
    <row r="457" spans="39:44">
      <c r="AM457" s="14">
        <v>2041</v>
      </c>
      <c r="AQ457" s="5">
        <v>3.417E-5</v>
      </c>
      <c r="AR457" s="6">
        <f t="shared" si="6"/>
        <v>3.4169999999999998</v>
      </c>
    </row>
    <row r="458" spans="39:44">
      <c r="AM458" s="14">
        <v>2030</v>
      </c>
      <c r="AQ458" s="5">
        <v>3.6300000000000001E-5</v>
      </c>
      <c r="AR458" s="6">
        <f t="shared" si="6"/>
        <v>3.6300000000000003</v>
      </c>
    </row>
    <row r="459" spans="39:44">
      <c r="AM459" s="14">
        <v>2009</v>
      </c>
      <c r="AQ459" s="5">
        <v>3.879E-5</v>
      </c>
      <c r="AR459" s="6">
        <f t="shared" si="6"/>
        <v>3.879</v>
      </c>
    </row>
    <row r="460" spans="39:44">
      <c r="AM460" s="14">
        <v>1980</v>
      </c>
      <c r="AQ460" s="5">
        <v>4.1690000000000002E-5</v>
      </c>
      <c r="AR460" s="6">
        <f t="shared" si="6"/>
        <v>4.1690000000000005</v>
      </c>
    </row>
    <row r="461" spans="39:44">
      <c r="AM461" s="14">
        <v>1945</v>
      </c>
      <c r="AQ461" s="5">
        <v>4.5019999999999999E-5</v>
      </c>
      <c r="AR461" s="6">
        <f t="shared" si="6"/>
        <v>4.5019999999999998</v>
      </c>
    </row>
    <row r="462" spans="39:44">
      <c r="AM462" s="14">
        <v>1906</v>
      </c>
      <c r="AQ462" s="5">
        <v>4.88E-5</v>
      </c>
      <c r="AR462" s="6">
        <f t="shared" si="6"/>
        <v>4.88</v>
      </c>
    </row>
    <row r="463" spans="39:44">
      <c r="AM463" s="14">
        <v>1864</v>
      </c>
      <c r="AQ463" s="5">
        <v>5.3059999999999997E-5</v>
      </c>
      <c r="AR463" s="6">
        <f t="shared" si="6"/>
        <v>5.306</v>
      </c>
    </row>
    <row r="464" spans="39:44">
      <c r="AM464" s="14">
        <v>1818</v>
      </c>
      <c r="AQ464" s="5">
        <v>5.787E-5</v>
      </c>
      <c r="AR464" s="6">
        <f t="shared" si="6"/>
        <v>5.7869999999999999</v>
      </c>
    </row>
    <row r="465" spans="39:46">
      <c r="AM465" s="14">
        <v>1773</v>
      </c>
      <c r="AQ465" s="5">
        <v>6.368E-5</v>
      </c>
      <c r="AR465" s="6">
        <f t="shared" si="6"/>
        <v>6.3680000000000003</v>
      </c>
    </row>
    <row r="466" spans="39:46">
      <c r="AM466" s="14">
        <v>1734</v>
      </c>
      <c r="AQ466" s="5">
        <v>7.0859999999999996E-5</v>
      </c>
      <c r="AR466" s="6">
        <f t="shared" si="6"/>
        <v>7.0859999999999994</v>
      </c>
    </row>
    <row r="467" spans="39:46">
      <c r="AM467" s="14">
        <v>1694</v>
      </c>
      <c r="AQ467" s="5">
        <v>7.9170000000000003E-5</v>
      </c>
      <c r="AR467" s="6">
        <f t="shared" si="6"/>
        <v>7.9170000000000007</v>
      </c>
    </row>
    <row r="468" spans="39:46">
      <c r="AM468" s="14">
        <v>1668</v>
      </c>
      <c r="AQ468" s="5">
        <v>8.7839999999999999E-5</v>
      </c>
      <c r="AR468" s="6">
        <f t="shared" si="6"/>
        <v>8.7840000000000007</v>
      </c>
    </row>
    <row r="469" spans="39:46">
      <c r="AM469" s="14">
        <v>1644</v>
      </c>
      <c r="AQ469" s="5">
        <v>1.004E-4</v>
      </c>
      <c r="AR469" s="6">
        <f t="shared" si="6"/>
        <v>10.040000000000001</v>
      </c>
    </row>
    <row r="470" spans="39:46">
      <c r="AM470" s="14">
        <v>1622</v>
      </c>
      <c r="AQ470" s="5">
        <v>1.1230000000000001E-4</v>
      </c>
      <c r="AR470" s="6">
        <f t="shared" si="6"/>
        <v>11.23</v>
      </c>
    </row>
    <row r="471" spans="39:46">
      <c r="AM471" s="14"/>
      <c r="AQ471" s="5">
        <v>1.2659999999999999E-4</v>
      </c>
      <c r="AR471" s="6">
        <f t="shared" si="6"/>
        <v>12.659999999999998</v>
      </c>
    </row>
    <row r="472" spans="39:46">
      <c r="AP472" s="14">
        <v>431.81200000000001</v>
      </c>
      <c r="AQ472" s="5">
        <v>1.4779999999999999E-4</v>
      </c>
      <c r="AR472" s="6">
        <f t="shared" si="6"/>
        <v>14.78</v>
      </c>
      <c r="AT472">
        <v>4.5999999999999999E-2</v>
      </c>
    </row>
    <row r="473" spans="39:46">
      <c r="AP473" s="14">
        <v>454.83</v>
      </c>
      <c r="AT473">
        <v>4.7E-2</v>
      </c>
    </row>
    <row r="474" spans="39:46">
      <c r="AP474" s="14">
        <v>479.959</v>
      </c>
      <c r="AT474">
        <v>4.9000000000000002E-2</v>
      </c>
    </row>
    <row r="475" spans="39:46">
      <c r="AP475" s="14">
        <v>506.5</v>
      </c>
      <c r="AT475">
        <v>5.1999999999999998E-2</v>
      </c>
    </row>
    <row r="476" spans="39:46">
      <c r="AP476" s="14">
        <v>534.17200000000003</v>
      </c>
      <c r="AT476">
        <v>5.5E-2</v>
      </c>
    </row>
    <row r="477" spans="39:46">
      <c r="AP477" s="14">
        <v>562.60799999999995</v>
      </c>
      <c r="AT477">
        <v>5.7000000000000002E-2</v>
      </c>
    </row>
    <row r="478" spans="39:46">
      <c r="AP478" s="14">
        <v>591.45399999999995</v>
      </c>
      <c r="AT478">
        <v>5.7000000000000002E-2</v>
      </c>
    </row>
    <row r="479" spans="39:46">
      <c r="AP479" s="14">
        <v>620.48500000000001</v>
      </c>
      <c r="AT479">
        <v>5.7000000000000002E-2</v>
      </c>
    </row>
    <row r="480" spans="39:46">
      <c r="AP480" s="14">
        <v>649.625</v>
      </c>
      <c r="AT480">
        <v>5.8999999999999997E-2</v>
      </c>
    </row>
    <row r="481" spans="42:48">
      <c r="AP481" s="14">
        <v>678.99199999999996</v>
      </c>
      <c r="AT481">
        <v>6.4000000000000001E-2</v>
      </c>
    </row>
    <row r="482" spans="42:48">
      <c r="AP482" s="14">
        <v>708.745</v>
      </c>
      <c r="AT482">
        <v>7.0000000000000007E-2</v>
      </c>
    </row>
    <row r="483" spans="42:48">
      <c r="AP483" s="14">
        <v>738.92200000000003</v>
      </c>
      <c r="AT483">
        <v>7.3999999999999996E-2</v>
      </c>
    </row>
    <row r="484" spans="42:48">
      <c r="AP484" s="14">
        <v>769.95500000000004</v>
      </c>
      <c r="AT484">
        <v>7.8E-2</v>
      </c>
      <c r="AV484" s="5">
        <v>15960</v>
      </c>
    </row>
    <row r="485" spans="42:48">
      <c r="AP485" s="14">
        <v>802.42399999999998</v>
      </c>
      <c r="AT485">
        <v>8.2000000000000003E-2</v>
      </c>
      <c r="AV485" s="5">
        <v>15960</v>
      </c>
    </row>
    <row r="486" spans="42:48">
      <c r="AP486" s="14">
        <v>837.11099999999999</v>
      </c>
      <c r="AT486">
        <v>8.6999999999999994E-2</v>
      </c>
      <c r="AV486" s="5">
        <v>15960</v>
      </c>
    </row>
    <row r="487" spans="42:48">
      <c r="AP487" s="14">
        <v>874.79899999999998</v>
      </c>
      <c r="AT487">
        <v>9.1999999999999998E-2</v>
      </c>
      <c r="AV487" s="5">
        <v>15960</v>
      </c>
    </row>
    <row r="488" spans="42:48">
      <c r="AP488" s="14">
        <v>914.26199999999994</v>
      </c>
      <c r="AT488">
        <v>9.8000000000000004E-2</v>
      </c>
      <c r="AV488" s="5">
        <v>15960</v>
      </c>
    </row>
    <row r="489" spans="42:48">
      <c r="AP489" s="14">
        <v>951.13199999999995</v>
      </c>
      <c r="AT489">
        <v>0.104</v>
      </c>
      <c r="AV489" s="5">
        <v>15960</v>
      </c>
    </row>
    <row r="490" spans="42:48">
      <c r="AP490" s="14">
        <v>992.77599999999995</v>
      </c>
      <c r="AT490">
        <v>0.108</v>
      </c>
      <c r="AV490" s="5">
        <v>15960</v>
      </c>
    </row>
    <row r="491" spans="42:48">
      <c r="AP491" s="14">
        <v>1023</v>
      </c>
      <c r="AT491">
        <v>0.111</v>
      </c>
      <c r="AV491" s="5">
        <v>15960</v>
      </c>
    </row>
    <row r="492" spans="42:48">
      <c r="AP492" s="14">
        <v>1055</v>
      </c>
      <c r="AT492">
        <v>0.11899999999999999</v>
      </c>
      <c r="AV492" s="5">
        <v>15960</v>
      </c>
    </row>
    <row r="493" spans="42:48">
      <c r="AP493" s="14">
        <v>1094</v>
      </c>
      <c r="AT493">
        <v>0.13500000000000001</v>
      </c>
      <c r="AV493" s="5">
        <v>15960</v>
      </c>
    </row>
    <row r="494" spans="42:48">
      <c r="AV494" s="5">
        <v>15960</v>
      </c>
    </row>
    <row r="495" spans="42:48">
      <c r="AV495" s="5">
        <v>16100</v>
      </c>
    </row>
    <row r="496" spans="42:48">
      <c r="AV496" s="5">
        <v>16790</v>
      </c>
    </row>
    <row r="497" spans="43:48">
      <c r="AV497" s="5">
        <v>18200</v>
      </c>
    </row>
    <row r="498" spans="43:48">
      <c r="AV498" s="5">
        <v>20790</v>
      </c>
    </row>
    <row r="499" spans="43:48">
      <c r="AV499" s="5">
        <v>20890</v>
      </c>
    </row>
    <row r="500" spans="43:48">
      <c r="AV500" s="5">
        <v>26310</v>
      </c>
    </row>
    <row r="501" spans="43:48">
      <c r="AQ501" s="5">
        <v>15960</v>
      </c>
      <c r="AR501" s="6">
        <f>AQ501/1000</f>
        <v>15.96</v>
      </c>
      <c r="AV501" s="5">
        <v>30670</v>
      </c>
    </row>
    <row r="502" spans="43:48">
      <c r="AQ502" s="5">
        <v>15960</v>
      </c>
      <c r="AR502" s="6">
        <f t="shared" ref="AR502:AR522" si="7">AQ502/1000</f>
        <v>15.96</v>
      </c>
      <c r="AV502" s="5">
        <v>32070</v>
      </c>
    </row>
    <row r="503" spans="43:48">
      <c r="AQ503" s="5">
        <v>15960</v>
      </c>
      <c r="AR503" s="6">
        <f t="shared" si="7"/>
        <v>15.96</v>
      </c>
      <c r="AV503" s="5">
        <v>24140</v>
      </c>
    </row>
    <row r="504" spans="43:48">
      <c r="AQ504" s="5">
        <v>15960</v>
      </c>
      <c r="AR504" s="6">
        <f t="shared" si="7"/>
        <v>15.96</v>
      </c>
      <c r="AV504" s="5">
        <v>18350</v>
      </c>
    </row>
    <row r="505" spans="43:48">
      <c r="AQ505" s="5">
        <v>15960</v>
      </c>
      <c r="AR505" s="6">
        <f t="shared" si="7"/>
        <v>15.96</v>
      </c>
      <c r="AV505" s="5">
        <v>13510</v>
      </c>
    </row>
    <row r="506" spans="43:48">
      <c r="AQ506" s="5">
        <v>15960</v>
      </c>
      <c r="AR506" s="6">
        <f t="shared" si="7"/>
        <v>15.96</v>
      </c>
    </row>
    <row r="507" spans="43:48">
      <c r="AQ507" s="5">
        <v>15960</v>
      </c>
      <c r="AR507" s="6">
        <f t="shared" si="7"/>
        <v>15.96</v>
      </c>
    </row>
    <row r="508" spans="43:48">
      <c r="AQ508" s="5">
        <v>15960</v>
      </c>
      <c r="AR508" s="6">
        <f t="shared" si="7"/>
        <v>15.96</v>
      </c>
    </row>
    <row r="509" spans="43:48">
      <c r="AQ509" s="5">
        <v>15960</v>
      </c>
      <c r="AR509" s="6">
        <f t="shared" si="7"/>
        <v>15.96</v>
      </c>
      <c r="AU509" s="15">
        <v>207.44</v>
      </c>
    </row>
    <row r="510" spans="43:48">
      <c r="AQ510" s="5">
        <v>15960</v>
      </c>
      <c r="AR510" s="6">
        <f t="shared" si="7"/>
        <v>15.96</v>
      </c>
      <c r="AU510" s="15">
        <v>211.589</v>
      </c>
    </row>
    <row r="511" spans="43:48">
      <c r="AQ511" s="5">
        <v>15960</v>
      </c>
      <c r="AR511" s="6">
        <f t="shared" si="7"/>
        <v>15.96</v>
      </c>
      <c r="AU511" s="15">
        <v>218.24100000000001</v>
      </c>
    </row>
    <row r="512" spans="43:48">
      <c r="AQ512" s="5">
        <v>16100</v>
      </c>
      <c r="AR512" s="6">
        <f t="shared" si="7"/>
        <v>16.100000000000001</v>
      </c>
      <c r="AU512" s="15">
        <v>226.15100000000001</v>
      </c>
    </row>
    <row r="513" spans="40:47">
      <c r="AQ513" s="5">
        <v>16790</v>
      </c>
      <c r="AR513" s="6">
        <f t="shared" si="7"/>
        <v>16.79</v>
      </c>
      <c r="AU513" s="15">
        <v>232.29400000000001</v>
      </c>
    </row>
    <row r="514" spans="40:47">
      <c r="AQ514" s="5">
        <v>18200</v>
      </c>
      <c r="AR514" s="6">
        <f t="shared" si="7"/>
        <v>18.2</v>
      </c>
      <c r="AU514" s="15">
        <v>234.45</v>
      </c>
    </row>
    <row r="515" spans="40:47">
      <c r="AQ515" s="5">
        <v>20790</v>
      </c>
      <c r="AR515" s="6">
        <f t="shared" si="7"/>
        <v>20.79</v>
      </c>
      <c r="AU515" s="15">
        <v>231.28399999999999</v>
      </c>
    </row>
    <row r="516" spans="40:47">
      <c r="AQ516" s="5">
        <v>20890</v>
      </c>
      <c r="AR516" s="6">
        <f t="shared" si="7"/>
        <v>20.89</v>
      </c>
      <c r="AU516" s="15">
        <v>225.6</v>
      </c>
    </row>
    <row r="517" spans="40:47">
      <c r="AQ517" s="5">
        <v>26310</v>
      </c>
      <c r="AR517" s="6">
        <f t="shared" si="7"/>
        <v>26.31</v>
      </c>
      <c r="AU517" s="15">
        <v>223.84299999999999</v>
      </c>
    </row>
    <row r="518" spans="40:47">
      <c r="AQ518" s="5">
        <v>30670</v>
      </c>
      <c r="AR518" s="6">
        <f t="shared" si="7"/>
        <v>30.67</v>
      </c>
      <c r="AU518" s="15">
        <v>228.03899999999999</v>
      </c>
    </row>
    <row r="519" spans="40:47">
      <c r="AQ519" s="5">
        <v>32070</v>
      </c>
      <c r="AR519" s="6">
        <f t="shared" si="7"/>
        <v>32.07</v>
      </c>
      <c r="AU519" s="15">
        <v>232.36799999999999</v>
      </c>
    </row>
    <row r="520" spans="40:47">
      <c r="AQ520" s="5">
        <v>24140</v>
      </c>
      <c r="AR520" s="6">
        <f t="shared" si="7"/>
        <v>24.14</v>
      </c>
      <c r="AU520" s="15">
        <v>232.036</v>
      </c>
    </row>
    <row r="521" spans="40:47">
      <c r="AQ521" s="5">
        <v>18350</v>
      </c>
      <c r="AR521" s="6">
        <f t="shared" si="7"/>
        <v>18.350000000000001</v>
      </c>
      <c r="AU521" s="15">
        <v>228.893</v>
      </c>
    </row>
    <row r="522" spans="40:47">
      <c r="AN522" s="5">
        <v>37460</v>
      </c>
      <c r="AO522" s="6">
        <f>AN522/10000</f>
        <v>3.746</v>
      </c>
      <c r="AQ522" s="5">
        <v>13510</v>
      </c>
      <c r="AR522" s="6">
        <f t="shared" si="7"/>
        <v>13.51</v>
      </c>
      <c r="AU522" s="15">
        <v>226.46600000000001</v>
      </c>
    </row>
    <row r="523" spans="40:47">
      <c r="AN523" s="5">
        <v>38210</v>
      </c>
      <c r="AO523" s="6">
        <f t="shared" ref="AO523:AO543" si="8">AN523/10000</f>
        <v>3.8210000000000002</v>
      </c>
      <c r="AU523" s="15">
        <v>224.11500000000001</v>
      </c>
    </row>
    <row r="524" spans="40:47">
      <c r="AN524" s="5">
        <v>39410</v>
      </c>
      <c r="AO524" s="6">
        <f t="shared" si="8"/>
        <v>3.9409999999999998</v>
      </c>
      <c r="AU524" s="15">
        <v>219.89</v>
      </c>
    </row>
    <row r="525" spans="40:47">
      <c r="AN525" s="5">
        <v>40840</v>
      </c>
      <c r="AO525" s="6">
        <f t="shared" si="8"/>
        <v>4.0839999999999996</v>
      </c>
      <c r="AU525" s="15">
        <v>216.233</v>
      </c>
    </row>
    <row r="526" spans="40:47">
      <c r="AN526" s="5">
        <v>41950</v>
      </c>
      <c r="AO526" s="6">
        <f t="shared" si="8"/>
        <v>4.1950000000000003</v>
      </c>
      <c r="AQ526" s="14">
        <v>625.88099999999997</v>
      </c>
      <c r="AU526" s="15">
        <v>213.06800000000001</v>
      </c>
    </row>
    <row r="527" spans="40:47">
      <c r="AN527" s="5">
        <v>42330</v>
      </c>
      <c r="AO527" s="6">
        <f t="shared" si="8"/>
        <v>4.2329999999999997</v>
      </c>
      <c r="AQ527" s="14">
        <v>637.09500000000003</v>
      </c>
      <c r="AU527" s="15">
        <v>204.89099999999999</v>
      </c>
    </row>
    <row r="528" spans="40:47">
      <c r="AN528" s="5">
        <v>41760</v>
      </c>
      <c r="AO528" s="6">
        <f t="shared" si="8"/>
        <v>4.1760000000000002</v>
      </c>
      <c r="AQ528" s="14">
        <v>626.65700000000004</v>
      </c>
      <c r="AU528" s="15">
        <v>198.17</v>
      </c>
    </row>
    <row r="529" spans="40:47">
      <c r="AN529" s="5">
        <v>40740</v>
      </c>
      <c r="AO529" s="6">
        <f t="shared" si="8"/>
        <v>4.0739999999999998</v>
      </c>
      <c r="AQ529" s="14">
        <v>615.68299999999999</v>
      </c>
      <c r="AU529" s="15">
        <v>195.333</v>
      </c>
    </row>
    <row r="530" spans="40:47">
      <c r="AN530" s="5">
        <v>40420</v>
      </c>
      <c r="AO530" s="6">
        <f t="shared" si="8"/>
        <v>4.0419999999999998</v>
      </c>
      <c r="AQ530" s="14">
        <v>606.68399999999997</v>
      </c>
      <c r="AU530" s="15">
        <v>196.93700000000001</v>
      </c>
    </row>
    <row r="531" spans="40:47">
      <c r="AN531" s="5">
        <v>41180</v>
      </c>
      <c r="AO531" s="6">
        <f t="shared" si="8"/>
        <v>4.1180000000000003</v>
      </c>
      <c r="AQ531" s="14">
        <v>601.14599999999996</v>
      </c>
    </row>
    <row r="532" spans="40:47">
      <c r="AN532" s="5">
        <v>41960</v>
      </c>
      <c r="AO532" s="6">
        <f t="shared" si="8"/>
        <v>4.1959999999999997</v>
      </c>
      <c r="AQ532" s="14">
        <v>599.97</v>
      </c>
    </row>
    <row r="533" spans="40:47">
      <c r="AN533" s="5">
        <v>42250</v>
      </c>
      <c r="AO533" s="6">
        <f t="shared" si="8"/>
        <v>4.2249999999999996</v>
      </c>
      <c r="AQ533" s="14">
        <v>600.96400000000006</v>
      </c>
    </row>
    <row r="534" spans="40:47">
      <c r="AN534" s="5">
        <v>43320</v>
      </c>
      <c r="AO534" s="6">
        <f t="shared" si="8"/>
        <v>4.3319999999999999</v>
      </c>
      <c r="AQ534" s="14">
        <v>598.72299999999996</v>
      </c>
    </row>
    <row r="535" spans="40:47">
      <c r="AN535" s="5">
        <v>46200</v>
      </c>
      <c r="AO535" s="6">
        <f t="shared" si="8"/>
        <v>4.62</v>
      </c>
      <c r="AQ535" s="14">
        <v>591.53700000000003</v>
      </c>
    </row>
    <row r="536" spans="40:47">
      <c r="AN536" s="5">
        <v>51780</v>
      </c>
      <c r="AO536" s="6">
        <f t="shared" si="8"/>
        <v>5.1779999999999999</v>
      </c>
      <c r="AQ536" s="14">
        <v>584.46100000000001</v>
      </c>
    </row>
    <row r="537" spans="40:47">
      <c r="AN537" s="5">
        <v>49130</v>
      </c>
      <c r="AO537" s="6">
        <f t="shared" si="8"/>
        <v>4.9130000000000003</v>
      </c>
      <c r="AQ537" s="14">
        <v>582.46400000000006</v>
      </c>
    </row>
    <row r="538" spans="40:47">
      <c r="AN538" s="5">
        <v>59910</v>
      </c>
      <c r="AO538" s="6">
        <f t="shared" si="8"/>
        <v>5.9909999999999997</v>
      </c>
      <c r="AQ538" s="14">
        <v>587.33399999999995</v>
      </c>
      <c r="AS538" s="14">
        <v>242.328</v>
      </c>
    </row>
    <row r="539" spans="40:47">
      <c r="AN539" s="5">
        <v>68190</v>
      </c>
      <c r="AO539" s="6">
        <f t="shared" si="8"/>
        <v>6.819</v>
      </c>
      <c r="AQ539" s="14">
        <v>597.16899999999998</v>
      </c>
      <c r="AS539" s="14">
        <v>251.328</v>
      </c>
    </row>
    <row r="540" spans="40:47">
      <c r="AN540" s="5">
        <v>68380</v>
      </c>
      <c r="AO540" s="6">
        <f t="shared" si="8"/>
        <v>6.8380000000000001</v>
      </c>
      <c r="AQ540" s="14">
        <v>614.89400000000001</v>
      </c>
      <c r="AS540" s="14">
        <v>260.32799999999997</v>
      </c>
    </row>
    <row r="541" spans="40:47">
      <c r="AN541" s="5">
        <v>50650</v>
      </c>
      <c r="AO541" s="6">
        <f t="shared" si="8"/>
        <v>5.0650000000000004</v>
      </c>
      <c r="AQ541" s="14">
        <v>731.39599999999996</v>
      </c>
      <c r="AS541" s="14">
        <v>269.32799999999997</v>
      </c>
    </row>
    <row r="542" spans="40:47">
      <c r="AN542" s="5">
        <v>38720</v>
      </c>
      <c r="AO542" s="6">
        <f t="shared" si="8"/>
        <v>3.8719999999999999</v>
      </c>
      <c r="AQ542" s="14">
        <v>779.21</v>
      </c>
      <c r="AS542" s="14">
        <v>277.32799999999997</v>
      </c>
    </row>
    <row r="543" spans="40:47">
      <c r="AN543" s="5">
        <v>29520</v>
      </c>
      <c r="AO543" s="6">
        <f t="shared" si="8"/>
        <v>2.952</v>
      </c>
      <c r="AQ543" s="14">
        <v>803.44799999999998</v>
      </c>
      <c r="AS543" s="14">
        <v>283.82799999999997</v>
      </c>
    </row>
    <row r="544" spans="40:47">
      <c r="AQ544" s="14">
        <v>803.72500000000002</v>
      </c>
      <c r="AS544" s="14">
        <v>289.32799999999997</v>
      </c>
    </row>
    <row r="545" spans="40:53">
      <c r="AQ545" s="14">
        <v>688.65300000000002</v>
      </c>
      <c r="AS545" s="14">
        <v>294.32799999999997</v>
      </c>
    </row>
    <row r="546" spans="40:53">
      <c r="AQ546" s="14">
        <v>598.30499999999995</v>
      </c>
      <c r="AS546" s="14">
        <v>299.32799999999997</v>
      </c>
    </row>
    <row r="547" spans="40:53">
      <c r="AQ547" s="14">
        <v>498.63900000000001</v>
      </c>
      <c r="AS547" s="14">
        <v>304.32799999999997</v>
      </c>
    </row>
    <row r="548" spans="40:53">
      <c r="AS548" s="14">
        <v>309.32799999999997</v>
      </c>
    </row>
    <row r="549" spans="40:53">
      <c r="AS549" s="14">
        <v>314.32799999999997</v>
      </c>
    </row>
    <row r="550" spans="40:53">
      <c r="AS550" s="14">
        <v>319.32799999999997</v>
      </c>
    </row>
    <row r="551" spans="40:53">
      <c r="AS551" s="14">
        <v>324.32799999999997</v>
      </c>
    </row>
    <row r="553" spans="40:53">
      <c r="AN553" s="14">
        <v>242.328</v>
      </c>
      <c r="AO553" s="14">
        <v>251.328</v>
      </c>
      <c r="AP553" s="14">
        <v>260.32799999999997</v>
      </c>
      <c r="AQ553" s="14">
        <v>269.32799999999997</v>
      </c>
      <c r="AR553" s="14">
        <v>277.32799999999997</v>
      </c>
      <c r="AS553" s="14">
        <v>283.82799999999997</v>
      </c>
      <c r="AT553" s="14">
        <v>289.32799999999997</v>
      </c>
      <c r="AU553" s="14">
        <v>294.32799999999997</v>
      </c>
      <c r="AV553" s="14">
        <v>299.32799999999997</v>
      </c>
      <c r="AW553" s="14">
        <v>304.32799999999997</v>
      </c>
      <c r="AX553" s="14">
        <v>309.32799999999997</v>
      </c>
      <c r="AY553" s="14">
        <v>314.32799999999997</v>
      </c>
      <c r="AZ553" s="14">
        <v>319.32799999999997</v>
      </c>
      <c r="BA553" s="14">
        <v>324.32799999999997</v>
      </c>
    </row>
    <row r="562" spans="39:52">
      <c r="AO562" s="14">
        <v>1561</v>
      </c>
    </row>
    <row r="563" spans="39:52">
      <c r="AO563" s="14">
        <v>1481</v>
      </c>
    </row>
    <row r="564" spans="39:52">
      <c r="AO564" s="14">
        <v>1415</v>
      </c>
      <c r="AQ564" s="14">
        <v>1561</v>
      </c>
      <c r="AR564" s="14">
        <v>1481</v>
      </c>
      <c r="AS564" s="14">
        <v>1415</v>
      </c>
      <c r="AT564" s="14">
        <v>1360</v>
      </c>
      <c r="AU564" s="14">
        <v>1318</v>
      </c>
      <c r="AV564" s="14">
        <v>1289</v>
      </c>
      <c r="AW564" s="14">
        <v>1267</v>
      </c>
      <c r="AX564" s="14">
        <v>1248</v>
      </c>
      <c r="AY564" s="14">
        <v>1232</v>
      </c>
      <c r="AZ564" s="14">
        <v>1217</v>
      </c>
    </row>
    <row r="565" spans="39:52">
      <c r="AO565" s="14">
        <v>1360</v>
      </c>
    </row>
    <row r="566" spans="39:52">
      <c r="AO566" s="14">
        <v>1318</v>
      </c>
    </row>
    <row r="567" spans="39:52">
      <c r="AO567" s="14">
        <v>1289</v>
      </c>
    </row>
    <row r="568" spans="39:52">
      <c r="AO568" s="14">
        <v>1267</v>
      </c>
    </row>
    <row r="569" spans="39:52">
      <c r="AO569" s="14">
        <v>1248</v>
      </c>
    </row>
    <row r="570" spans="39:52">
      <c r="AO570" s="14">
        <v>1232</v>
      </c>
    </row>
    <row r="571" spans="39:52">
      <c r="AO571" s="14">
        <v>1217</v>
      </c>
    </row>
    <row r="574" spans="39:52">
      <c r="AM574" s="6">
        <v>11.808</v>
      </c>
    </row>
    <row r="575" spans="39:52">
      <c r="AM575" s="6">
        <v>14.728</v>
      </c>
    </row>
    <row r="576" spans="39:52">
      <c r="AM576" s="6">
        <v>26.695</v>
      </c>
    </row>
    <row r="577" spans="39:58">
      <c r="AM577" s="6">
        <v>17.164000000000001</v>
      </c>
    </row>
    <row r="578" spans="39:58">
      <c r="AM578" s="6">
        <v>11.773999999999999</v>
      </c>
      <c r="AP578" s="6">
        <v>11.808</v>
      </c>
      <c r="AQ578" s="6">
        <v>14.728</v>
      </c>
      <c r="AR578" s="6">
        <v>26.695</v>
      </c>
      <c r="AS578" s="6">
        <v>17.164000000000001</v>
      </c>
      <c r="AT578" s="6">
        <v>11.773999999999999</v>
      </c>
      <c r="AU578" s="6">
        <v>9.0960000000000001</v>
      </c>
      <c r="AV578" s="6">
        <v>7.5650000000000004</v>
      </c>
      <c r="AW578" s="6">
        <v>6.593</v>
      </c>
      <c r="AX578" s="6">
        <v>5.891</v>
      </c>
      <c r="AY578" s="6">
        <v>5.31</v>
      </c>
    </row>
    <row r="579" spans="39:58">
      <c r="AM579" s="6">
        <v>9.0960000000000001</v>
      </c>
    </row>
    <row r="580" spans="39:58">
      <c r="AM580" s="6">
        <v>7.5650000000000004</v>
      </c>
    </row>
    <row r="581" spans="39:58">
      <c r="AM581" s="6">
        <v>6.593</v>
      </c>
    </row>
    <row r="582" spans="39:58">
      <c r="AM582" s="6">
        <v>5.891</v>
      </c>
    </row>
    <row r="583" spans="39:58">
      <c r="AM583" s="6">
        <v>5.31</v>
      </c>
      <c r="AQ583" s="14">
        <v>243.28</v>
      </c>
    </row>
    <row r="584" spans="39:58">
      <c r="AQ584" s="14">
        <v>256.55</v>
      </c>
    </row>
    <row r="585" spans="39:58">
      <c r="AQ585" s="14">
        <v>277.26</v>
      </c>
      <c r="AT585" s="14">
        <v>243.28</v>
      </c>
      <c r="AU585" s="14">
        <v>256.55</v>
      </c>
      <c r="AV585" s="14">
        <v>277.26</v>
      </c>
      <c r="AW585" s="14">
        <v>299.19</v>
      </c>
      <c r="AX585" s="14">
        <v>313.66000000000003</v>
      </c>
      <c r="AY585" s="14">
        <v>324.10000000000002</v>
      </c>
      <c r="AZ585" s="14">
        <v>332.43</v>
      </c>
      <c r="BA585" s="14">
        <v>339.51</v>
      </c>
      <c r="BB585" s="14">
        <v>345.75</v>
      </c>
      <c r="BC585" s="14">
        <v>351.35</v>
      </c>
      <c r="BD585" s="14">
        <v>356.42</v>
      </c>
      <c r="BE585" s="14">
        <v>361.08</v>
      </c>
      <c r="BF585" s="14">
        <v>365.43</v>
      </c>
    </row>
    <row r="586" spans="39:58">
      <c r="AQ586" s="14">
        <v>299.19</v>
      </c>
    </row>
    <row r="587" spans="39:58">
      <c r="AQ587" s="14">
        <v>313.66000000000003</v>
      </c>
    </row>
    <row r="588" spans="39:58">
      <c r="AQ588" s="14">
        <v>324.10000000000002</v>
      </c>
    </row>
    <row r="589" spans="39:58">
      <c r="AQ589" s="14">
        <v>332.43</v>
      </c>
    </row>
    <row r="590" spans="39:58">
      <c r="AQ590" s="14">
        <v>339.51</v>
      </c>
    </row>
    <row r="591" spans="39:58">
      <c r="AQ591" s="14">
        <v>345.75</v>
      </c>
    </row>
    <row r="592" spans="39:58">
      <c r="AQ592" s="14">
        <v>351.35</v>
      </c>
    </row>
    <row r="593" spans="41:52">
      <c r="AQ593" s="14">
        <v>356.42</v>
      </c>
    </row>
    <row r="594" spans="41:52">
      <c r="AQ594" s="14">
        <v>361.08</v>
      </c>
    </row>
    <row r="595" spans="41:52">
      <c r="AQ595" s="14">
        <v>365.43</v>
      </c>
    </row>
    <row r="599" spans="41:52">
      <c r="AO599" s="14">
        <v>1551</v>
      </c>
    </row>
    <row r="600" spans="41:52">
      <c r="AO600" s="14">
        <v>1441</v>
      </c>
    </row>
    <row r="601" spans="41:52">
      <c r="AO601" s="14">
        <v>1318</v>
      </c>
      <c r="AQ601" s="14">
        <v>1551</v>
      </c>
      <c r="AR601" s="14">
        <v>1441</v>
      </c>
      <c r="AS601" s="14">
        <v>1318</v>
      </c>
      <c r="AT601" s="14">
        <v>1232</v>
      </c>
      <c r="AU601" s="14">
        <v>1192</v>
      </c>
      <c r="AV601" s="14">
        <v>1168</v>
      </c>
      <c r="AW601" s="14">
        <v>1152</v>
      </c>
      <c r="AX601" s="14">
        <v>1140</v>
      </c>
      <c r="AY601" s="14">
        <v>1130</v>
      </c>
      <c r="AZ601" s="14">
        <v>1123</v>
      </c>
    </row>
    <row r="602" spans="41:52">
      <c r="AO602" s="14">
        <v>1232</v>
      </c>
    </row>
    <row r="603" spans="41:52">
      <c r="AO603" s="14">
        <v>1192</v>
      </c>
    </row>
    <row r="604" spans="41:52">
      <c r="AO604" s="14">
        <v>1168</v>
      </c>
    </row>
    <row r="605" spans="41:52">
      <c r="AO605" s="14">
        <v>1152</v>
      </c>
    </row>
    <row r="606" spans="41:52">
      <c r="AO606" s="14">
        <v>1140</v>
      </c>
    </row>
    <row r="607" spans="41:52">
      <c r="AO607" s="14">
        <v>1130</v>
      </c>
    </row>
    <row r="608" spans="41:52">
      <c r="AO608" s="14">
        <v>1123</v>
      </c>
    </row>
    <row r="614" spans="39:52">
      <c r="AM614" s="15">
        <v>7.4999999999999997E-2</v>
      </c>
    </row>
    <row r="615" spans="39:52">
      <c r="AM615" s="15">
        <v>0.28999999999999998</v>
      </c>
    </row>
    <row r="616" spans="39:52">
      <c r="AM616" s="15">
        <v>1.349</v>
      </c>
      <c r="AP616" s="15">
        <v>7.4999999999999997E-2</v>
      </c>
      <c r="AQ616" s="15">
        <v>0.28999999999999998</v>
      </c>
      <c r="AR616" s="15">
        <v>1.349</v>
      </c>
      <c r="AS616" s="15">
        <v>3.4169999999999998</v>
      </c>
      <c r="AT616" s="15">
        <v>4.6870000000000003</v>
      </c>
      <c r="AU616" s="15">
        <v>4.7969999999999997</v>
      </c>
      <c r="AV616" s="15">
        <v>4.6829999999999998</v>
      </c>
      <c r="AW616" s="15">
        <v>4.5259999999999998</v>
      </c>
      <c r="AX616" s="15">
        <v>4.343</v>
      </c>
      <c r="AY616" s="15">
        <v>4.1130000000000004</v>
      </c>
      <c r="AZ616" s="15">
        <v>3.859</v>
      </c>
    </row>
    <row r="617" spans="39:52">
      <c r="AM617" s="15">
        <v>3.4169999999999998</v>
      </c>
    </row>
    <row r="618" spans="39:52">
      <c r="AM618" s="15">
        <v>4.6870000000000003</v>
      </c>
    </row>
    <row r="619" spans="39:52">
      <c r="AM619" s="15">
        <v>4.7969999999999997</v>
      </c>
    </row>
    <row r="620" spans="39:52">
      <c r="AM620" s="15">
        <v>4.6829999999999998</v>
      </c>
    </row>
    <row r="621" spans="39:52">
      <c r="AM621" s="15">
        <v>4.5259999999999998</v>
      </c>
    </row>
    <row r="622" spans="39:52">
      <c r="AM622" s="15">
        <v>4.343</v>
      </c>
    </row>
    <row r="623" spans="39:52">
      <c r="AM623" s="15">
        <v>4.1130000000000004</v>
      </c>
    </row>
    <row r="624" spans="39:52">
      <c r="AM624" s="15">
        <v>3.859</v>
      </c>
      <c r="AQ624" s="15">
        <v>228.828</v>
      </c>
    </row>
    <row r="625" spans="39:49">
      <c r="AQ625" s="15">
        <v>237.381</v>
      </c>
    </row>
    <row r="626" spans="39:49">
      <c r="AQ626" s="15">
        <v>249.18899999999999</v>
      </c>
    </row>
    <row r="627" spans="39:49">
      <c r="AQ627" s="15">
        <v>263.91699999999997</v>
      </c>
    </row>
    <row r="628" spans="39:49">
      <c r="AQ628" s="15">
        <v>290.61099999999999</v>
      </c>
    </row>
    <row r="629" spans="39:49">
      <c r="AQ629" s="15">
        <v>307.77499999999998</v>
      </c>
    </row>
    <row r="630" spans="39:49">
      <c r="AQ630" s="15">
        <v>319.54899999999998</v>
      </c>
    </row>
    <row r="631" spans="39:49">
      <c r="AQ631" s="15">
        <v>328.64499999999998</v>
      </c>
    </row>
    <row r="632" spans="39:49">
      <c r="AQ632" s="15">
        <v>336.21100000000001</v>
      </c>
    </row>
    <row r="633" spans="39:49">
      <c r="AQ633" s="15">
        <v>342.803</v>
      </c>
    </row>
    <row r="634" spans="39:49">
      <c r="AQ634" s="15">
        <v>348.69400000000002</v>
      </c>
    </row>
    <row r="639" spans="39:49">
      <c r="AM639" s="15">
        <v>228.828</v>
      </c>
      <c r="AN639" s="15">
        <v>237.381</v>
      </c>
      <c r="AO639" s="15">
        <v>249.18899999999999</v>
      </c>
      <c r="AP639" s="15">
        <v>263.91699999999997</v>
      </c>
      <c r="AQ639" s="15">
        <v>290.61099999999999</v>
      </c>
      <c r="AR639" s="15">
        <v>307.77499999999998</v>
      </c>
      <c r="AS639" s="15">
        <v>319.54899999999998</v>
      </c>
      <c r="AT639" s="15">
        <v>328.64499999999998</v>
      </c>
      <c r="AU639" s="15">
        <v>336.21100000000001</v>
      </c>
      <c r="AV639" s="15">
        <v>342.803</v>
      </c>
      <c r="AW639" s="15">
        <v>348.69400000000002</v>
      </c>
    </row>
    <row r="655" spans="39:39">
      <c r="AM655">
        <v>0</v>
      </c>
    </row>
    <row r="656" spans="39:39">
      <c r="AM656">
        <v>0</v>
      </c>
    </row>
    <row r="657" spans="39:47">
      <c r="AM657">
        <v>0</v>
      </c>
    </row>
    <row r="658" spans="39:47">
      <c r="AM658">
        <v>0</v>
      </c>
    </row>
    <row r="659" spans="39:47">
      <c r="AM659">
        <v>0</v>
      </c>
    </row>
    <row r="660" spans="39:47">
      <c r="AM660">
        <v>0</v>
      </c>
    </row>
    <row r="661" spans="39:47">
      <c r="AM661">
        <v>0</v>
      </c>
    </row>
    <row r="662" spans="39:47">
      <c r="AM662">
        <v>0</v>
      </c>
    </row>
    <row r="663" spans="39:47">
      <c r="AM663">
        <v>0</v>
      </c>
    </row>
    <row r="664" spans="39:47">
      <c r="AM664">
        <v>0</v>
      </c>
    </row>
    <row r="665" spans="39:47">
      <c r="AM665">
        <v>0</v>
      </c>
    </row>
    <row r="666" spans="39:47">
      <c r="AM666">
        <v>0</v>
      </c>
    </row>
    <row r="667" spans="39:47">
      <c r="AM667">
        <v>0</v>
      </c>
    </row>
    <row r="668" spans="39:47">
      <c r="AM668">
        <v>0</v>
      </c>
    </row>
    <row r="669" spans="39:47">
      <c r="AM669">
        <v>0</v>
      </c>
    </row>
    <row r="670" spans="39:47">
      <c r="AM670">
        <v>0</v>
      </c>
      <c r="AT670" s="5">
        <v>2.711E-5</v>
      </c>
      <c r="AU670" s="6">
        <f>AT670*100000</f>
        <v>2.7109999999999999</v>
      </c>
    </row>
    <row r="671" spans="39:47">
      <c r="AM671">
        <v>0</v>
      </c>
      <c r="AT671" s="5">
        <v>2.6429999999999999E-5</v>
      </c>
      <c r="AU671" s="6">
        <f t="shared" ref="AU671:AU680" si="9">AT671*100000</f>
        <v>2.6429999999999998</v>
      </c>
    </row>
    <row r="672" spans="39:47">
      <c r="AM672">
        <v>0</v>
      </c>
      <c r="AT672" s="5">
        <v>2.5890000000000001E-5</v>
      </c>
      <c r="AU672" s="6">
        <f t="shared" si="9"/>
        <v>2.589</v>
      </c>
    </row>
    <row r="673" spans="39:47">
      <c r="AM673">
        <v>0</v>
      </c>
      <c r="AT673" s="5">
        <v>2.563E-5</v>
      </c>
      <c r="AU673" s="6">
        <f t="shared" si="9"/>
        <v>2.5630000000000002</v>
      </c>
    </row>
    <row r="674" spans="39:47">
      <c r="AM674">
        <v>0</v>
      </c>
      <c r="AT674" s="5">
        <v>2.5780000000000001E-5</v>
      </c>
      <c r="AU674" s="6">
        <f t="shared" si="9"/>
        <v>2.5779999999999998</v>
      </c>
    </row>
    <row r="675" spans="39:47">
      <c r="AM675">
        <v>0</v>
      </c>
      <c r="AS675" s="14">
        <v>1705</v>
      </c>
      <c r="AT675" s="5">
        <v>2.6129999999999999E-5</v>
      </c>
      <c r="AU675" s="6">
        <f t="shared" si="9"/>
        <v>2.613</v>
      </c>
    </row>
    <row r="676" spans="39:47">
      <c r="AM676">
        <v>150</v>
      </c>
      <c r="AQ676" s="6">
        <v>3.1070000000000002</v>
      </c>
      <c r="AS676" s="14">
        <v>1610</v>
      </c>
      <c r="AT676" s="5">
        <v>2.6420000000000001E-5</v>
      </c>
      <c r="AU676" s="6">
        <f t="shared" si="9"/>
        <v>2.6419999999999999</v>
      </c>
    </row>
    <row r="677" spans="39:47">
      <c r="AM677">
        <v>150</v>
      </c>
      <c r="AQ677" s="6">
        <v>4.3129999999999997</v>
      </c>
      <c r="AS677" s="14">
        <v>1499</v>
      </c>
      <c r="AT677" s="5">
        <v>2.6659999999999999E-5</v>
      </c>
      <c r="AU677" s="6">
        <f t="shared" si="9"/>
        <v>2.6659999999999999</v>
      </c>
    </row>
    <row r="678" spans="39:47">
      <c r="AM678">
        <v>150</v>
      </c>
      <c r="AQ678" s="6">
        <v>7.2249999999999996</v>
      </c>
      <c r="AS678" s="14">
        <v>1392</v>
      </c>
      <c r="AT678" s="5">
        <v>2.688E-5</v>
      </c>
      <c r="AU678" s="6">
        <f t="shared" si="9"/>
        <v>2.6880000000000002</v>
      </c>
    </row>
    <row r="679" spans="39:47">
      <c r="AM679">
        <v>150</v>
      </c>
      <c r="AQ679" s="6">
        <v>2.581</v>
      </c>
      <c r="AS679" s="14">
        <v>1262</v>
      </c>
      <c r="AT679" s="5">
        <v>2.707E-5</v>
      </c>
      <c r="AU679" s="6">
        <f t="shared" si="9"/>
        <v>2.7069999999999999</v>
      </c>
    </row>
    <row r="680" spans="39:47">
      <c r="AM680">
        <v>600</v>
      </c>
      <c r="AQ680" s="6">
        <v>3.3</v>
      </c>
      <c r="AS680" s="14">
        <v>1207</v>
      </c>
      <c r="AT680" s="5">
        <v>2.726E-5</v>
      </c>
      <c r="AU680" s="6">
        <f t="shared" si="9"/>
        <v>2.726</v>
      </c>
    </row>
    <row r="681" spans="39:47">
      <c r="AM681">
        <v>600</v>
      </c>
      <c r="AQ681" s="6">
        <v>3.95</v>
      </c>
      <c r="AS681" s="14">
        <v>1178</v>
      </c>
    </row>
    <row r="682" spans="39:47">
      <c r="AM682">
        <v>600</v>
      </c>
      <c r="AQ682" s="6">
        <v>4.5309999999999997</v>
      </c>
      <c r="AS682" s="14">
        <v>1159</v>
      </c>
    </row>
    <row r="683" spans="39:47">
      <c r="AM683">
        <v>600</v>
      </c>
      <c r="AQ683" s="6">
        <v>5.0659999999999998</v>
      </c>
      <c r="AS683" s="14">
        <v>1145</v>
      </c>
    </row>
    <row r="684" spans="39:47">
      <c r="AM684">
        <v>600</v>
      </c>
      <c r="AQ684" s="6">
        <v>5.5759999999999996</v>
      </c>
      <c r="AS684" s="14">
        <v>1135</v>
      </c>
    </row>
    <row r="685" spans="39:47">
      <c r="AM685">
        <v>600</v>
      </c>
      <c r="AQ685" s="6">
        <v>6.0620000000000003</v>
      </c>
      <c r="AS685" s="14">
        <v>1126</v>
      </c>
    </row>
    <row r="686" spans="39:47">
      <c r="AM686">
        <v>600</v>
      </c>
      <c r="AS686" s="14"/>
    </row>
    <row r="687" spans="39:47">
      <c r="AM687">
        <v>600</v>
      </c>
      <c r="AT687">
        <v>4.5999999999999999E-2</v>
      </c>
    </row>
    <row r="688" spans="39:47">
      <c r="AM688">
        <v>600</v>
      </c>
      <c r="AR688" s="15">
        <v>431.81200000000001</v>
      </c>
      <c r="AT688">
        <v>4.4999999999999998E-2</v>
      </c>
    </row>
    <row r="689" spans="39:46">
      <c r="AM689">
        <v>600</v>
      </c>
      <c r="AR689" s="15">
        <v>400.80099999999999</v>
      </c>
      <c r="AT689">
        <v>4.3999999999999997E-2</v>
      </c>
    </row>
    <row r="690" spans="39:46">
      <c r="AM690">
        <v>600</v>
      </c>
      <c r="AR690" s="15">
        <v>365.31099999999998</v>
      </c>
      <c r="AT690">
        <v>4.2000000000000003E-2</v>
      </c>
    </row>
    <row r="691" spans="39:46">
      <c r="AP691" s="5">
        <v>16530</v>
      </c>
      <c r="AQ691" s="6">
        <f>AP691/1000</f>
        <v>16.53</v>
      </c>
      <c r="AR691" s="15">
        <v>330.08499999999998</v>
      </c>
      <c r="AT691">
        <v>4.1000000000000002E-2</v>
      </c>
    </row>
    <row r="692" spans="39:46">
      <c r="AP692" s="5">
        <v>10400</v>
      </c>
      <c r="AQ692" s="6">
        <f t="shared" ref="AQ692:AQ701" si="10">AP692/1000</f>
        <v>10.4</v>
      </c>
      <c r="AR692" s="15">
        <v>283.21100000000001</v>
      </c>
      <c r="AT692">
        <v>4.1000000000000002E-2</v>
      </c>
    </row>
    <row r="693" spans="39:46">
      <c r="AP693" s="5">
        <v>6575</v>
      </c>
      <c r="AQ693" s="6">
        <f t="shared" si="10"/>
        <v>6.5750000000000002</v>
      </c>
      <c r="AR693" s="15">
        <v>260.60899999999998</v>
      </c>
      <c r="AT693">
        <v>4.1000000000000002E-2</v>
      </c>
    </row>
    <row r="694" spans="39:46">
      <c r="AP694" s="5">
        <v>3500</v>
      </c>
      <c r="AQ694" s="6">
        <f t="shared" si="10"/>
        <v>3.5</v>
      </c>
      <c r="AR694" s="15">
        <v>247.44800000000001</v>
      </c>
      <c r="AT694">
        <v>4.1000000000000002E-2</v>
      </c>
    </row>
    <row r="695" spans="39:46">
      <c r="AP695" s="5">
        <v>3445</v>
      </c>
      <c r="AQ695" s="6">
        <f t="shared" si="10"/>
        <v>3.4449999999999998</v>
      </c>
      <c r="AR695" s="15">
        <v>238.321</v>
      </c>
      <c r="AT695">
        <v>4.1000000000000002E-2</v>
      </c>
    </row>
    <row r="696" spans="39:46">
      <c r="AP696" s="5">
        <v>2368</v>
      </c>
      <c r="AQ696" s="6">
        <f t="shared" si="10"/>
        <v>2.3679999999999999</v>
      </c>
      <c r="AR696" s="15">
        <v>231.32</v>
      </c>
      <c r="AT696">
        <v>4.1000000000000002E-2</v>
      </c>
    </row>
    <row r="697" spans="39:46">
      <c r="AP697" s="5">
        <v>1847</v>
      </c>
      <c r="AQ697" s="6">
        <f t="shared" si="10"/>
        <v>1.847</v>
      </c>
      <c r="AR697" s="15">
        <v>225.607</v>
      </c>
      <c r="AT697">
        <v>4.1000000000000002E-2</v>
      </c>
    </row>
    <row r="698" spans="39:46">
      <c r="AP698" s="5">
        <v>1543</v>
      </c>
      <c r="AQ698" s="6">
        <f t="shared" si="10"/>
        <v>1.5429999999999999</v>
      </c>
      <c r="AR698" s="15">
        <v>220.77799999999999</v>
      </c>
    </row>
    <row r="699" spans="39:46">
      <c r="AP699" s="5">
        <v>1339</v>
      </c>
      <c r="AQ699" s="6">
        <f t="shared" si="10"/>
        <v>1.339</v>
      </c>
    </row>
    <row r="700" spans="39:46">
      <c r="AP700" s="5">
        <v>1190</v>
      </c>
      <c r="AQ700" s="6">
        <f t="shared" si="10"/>
        <v>1.19</v>
      </c>
    </row>
    <row r="701" spans="39:46">
      <c r="AP701" s="5">
        <v>1076</v>
      </c>
      <c r="AQ701" s="6">
        <f t="shared" si="10"/>
        <v>1.0760000000000001</v>
      </c>
    </row>
    <row r="706" spans="38:50">
      <c r="AL706" s="6">
        <v>207.44</v>
      </c>
    </row>
    <row r="707" spans="38:50">
      <c r="AL707" s="6">
        <v>203.422</v>
      </c>
    </row>
    <row r="708" spans="38:50">
      <c r="AL708" s="6">
        <v>195.97300000000001</v>
      </c>
    </row>
    <row r="709" spans="38:50">
      <c r="AL709" s="6">
        <v>185.87799999999999</v>
      </c>
      <c r="AQ709" s="5">
        <v>39870</v>
      </c>
      <c r="AR709" s="15">
        <f>AQ709/10000</f>
        <v>3.9870000000000001</v>
      </c>
      <c r="AT709" s="6">
        <v>1.0009999999999999</v>
      </c>
    </row>
    <row r="710" spans="38:50">
      <c r="AL710" s="6">
        <v>176.227</v>
      </c>
      <c r="AQ710" s="5">
        <v>25420</v>
      </c>
      <c r="AR710" s="15">
        <f t="shared" ref="AR710:AR719" si="11">AQ710/10000</f>
        <v>2.5419999999999998</v>
      </c>
      <c r="AT710" s="6">
        <v>1.0820000000000001</v>
      </c>
    </row>
    <row r="711" spans="38:50">
      <c r="AL711" s="6">
        <v>171.255</v>
      </c>
      <c r="AQ711" s="5">
        <v>16170</v>
      </c>
      <c r="AR711" s="15">
        <f t="shared" si="11"/>
        <v>1.617</v>
      </c>
      <c r="AT711" s="6">
        <v>1.1319999999999999</v>
      </c>
    </row>
    <row r="712" spans="38:50">
      <c r="AL712" s="6">
        <v>168.21799999999999</v>
      </c>
      <c r="AQ712" s="5">
        <v>8805</v>
      </c>
      <c r="AR712" s="15">
        <f t="shared" si="11"/>
        <v>0.88049999999999995</v>
      </c>
      <c r="AT712" s="6">
        <v>1.1539999999999999</v>
      </c>
    </row>
    <row r="713" spans="38:50">
      <c r="AL713" s="6">
        <v>166.185</v>
      </c>
      <c r="AQ713" s="5">
        <v>9426</v>
      </c>
      <c r="AR713" s="15">
        <f t="shared" si="11"/>
        <v>0.94259999999999999</v>
      </c>
      <c r="AT713" s="6">
        <v>1.4059999999999999</v>
      </c>
    </row>
    <row r="714" spans="38:50">
      <c r="AL714" s="6">
        <v>164.74199999999999</v>
      </c>
      <c r="AQ714" s="5">
        <v>6482</v>
      </c>
      <c r="AR714" s="15">
        <f t="shared" si="11"/>
        <v>0.6482</v>
      </c>
      <c r="AT714" s="6">
        <v>1.4379999999999999</v>
      </c>
      <c r="AX714" s="6">
        <v>802.50099999999998</v>
      </c>
    </row>
    <row r="715" spans="38:50">
      <c r="AL715" s="6">
        <v>163.697</v>
      </c>
      <c r="AQ715" s="5">
        <v>5082</v>
      </c>
      <c r="AR715" s="15">
        <f t="shared" si="11"/>
        <v>0.50819999999999999</v>
      </c>
      <c r="AT715" s="6">
        <v>1.4379999999999999</v>
      </c>
      <c r="AV715" s="15">
        <v>772.40700000000004</v>
      </c>
      <c r="AX715" s="6">
        <v>617.96400000000006</v>
      </c>
    </row>
    <row r="716" spans="38:50">
      <c r="AL716" s="6">
        <v>162.947</v>
      </c>
      <c r="AQ716" s="5">
        <v>4273</v>
      </c>
      <c r="AR716" s="15">
        <f t="shared" si="11"/>
        <v>0.42730000000000001</v>
      </c>
      <c r="AT716" s="6">
        <v>1.4279999999999999</v>
      </c>
      <c r="AV716" s="15">
        <v>594.79100000000005</v>
      </c>
      <c r="AX716" s="6">
        <v>468.04500000000002</v>
      </c>
    </row>
    <row r="717" spans="38:50">
      <c r="AQ717" s="5">
        <v>3736</v>
      </c>
      <c r="AR717" s="15">
        <f t="shared" si="11"/>
        <v>0.37359999999999999</v>
      </c>
      <c r="AT717" s="6">
        <v>1.4159999999999999</v>
      </c>
      <c r="AV717" s="15">
        <v>450.49299999999999</v>
      </c>
      <c r="AX717" s="6">
        <v>330.74799999999999</v>
      </c>
    </row>
    <row r="718" spans="38:50">
      <c r="AQ718" s="5">
        <v>3345</v>
      </c>
      <c r="AR718" s="15">
        <f t="shared" si="11"/>
        <v>0.33450000000000002</v>
      </c>
      <c r="AT718" s="6">
        <v>1.403</v>
      </c>
      <c r="AV718" s="15">
        <v>318.34500000000003</v>
      </c>
      <c r="AX718" s="6">
        <v>253.66200000000001</v>
      </c>
    </row>
    <row r="719" spans="38:50">
      <c r="AQ719" s="5">
        <v>3048</v>
      </c>
      <c r="AR719" s="15">
        <f t="shared" si="11"/>
        <v>0.30480000000000002</v>
      </c>
      <c r="AT719" s="6">
        <v>1.391</v>
      </c>
      <c r="AV719" s="15">
        <v>244.15</v>
      </c>
      <c r="AX719" s="6">
        <v>248.899</v>
      </c>
    </row>
    <row r="720" spans="38:50">
      <c r="AT720" s="6"/>
      <c r="AV720" s="15">
        <v>239.566</v>
      </c>
      <c r="AX720" s="6">
        <v>247.661</v>
      </c>
    </row>
    <row r="721" spans="42:50">
      <c r="AV721" s="15">
        <v>238.374</v>
      </c>
      <c r="AX721" s="6">
        <v>247.928</v>
      </c>
    </row>
    <row r="722" spans="42:50">
      <c r="AV722" s="15">
        <v>238.631</v>
      </c>
      <c r="AX722" s="6">
        <v>248.87299999999999</v>
      </c>
    </row>
    <row r="723" spans="42:50">
      <c r="AP723" s="5">
        <v>253400</v>
      </c>
      <c r="AQ723" s="6">
        <f>AP723/1000000</f>
        <v>0.25340000000000001</v>
      </c>
      <c r="AV723" s="15">
        <v>239.54</v>
      </c>
      <c r="AX723" s="6">
        <v>250.09399999999999</v>
      </c>
    </row>
    <row r="724" spans="42:50">
      <c r="AP724" s="5">
        <v>227500</v>
      </c>
      <c r="AQ724" s="6">
        <f t="shared" ref="AQ724:AQ752" si="12">AP724/1000000</f>
        <v>0.22750000000000001</v>
      </c>
      <c r="AV724" s="15">
        <v>240.71600000000001</v>
      </c>
      <c r="AX724" s="6">
        <v>251.50899999999999</v>
      </c>
    </row>
    <row r="725" spans="42:50">
      <c r="AP725" s="5">
        <v>204300</v>
      </c>
      <c r="AQ725" s="6">
        <f t="shared" si="12"/>
        <v>0.20430000000000001</v>
      </c>
      <c r="AV725" s="15">
        <v>242.077</v>
      </c>
    </row>
    <row r="726" spans="42:50">
      <c r="AP726" s="5">
        <v>183700</v>
      </c>
      <c r="AQ726" s="6">
        <f t="shared" si="12"/>
        <v>0.1837</v>
      </c>
    </row>
    <row r="727" spans="42:50">
      <c r="AP727" s="5">
        <v>165600</v>
      </c>
      <c r="AQ727" s="6">
        <f t="shared" si="12"/>
        <v>0.1656</v>
      </c>
    </row>
    <row r="728" spans="42:50">
      <c r="AP728" s="5">
        <v>149800</v>
      </c>
      <c r="AQ728" s="6">
        <f t="shared" si="12"/>
        <v>0.14979999999999999</v>
      </c>
    </row>
    <row r="729" spans="42:50">
      <c r="AP729" s="5">
        <v>136100</v>
      </c>
      <c r="AQ729" s="6">
        <f t="shared" si="12"/>
        <v>0.1361</v>
      </c>
    </row>
    <row r="730" spans="42:50">
      <c r="AP730" s="5">
        <v>124200</v>
      </c>
      <c r="AQ730" s="6">
        <f t="shared" si="12"/>
        <v>0.1242</v>
      </c>
    </row>
    <row r="731" spans="42:50">
      <c r="AP731" s="5">
        <v>113700</v>
      </c>
      <c r="AQ731" s="6">
        <f t="shared" si="12"/>
        <v>0.1137</v>
      </c>
    </row>
    <row r="732" spans="42:50">
      <c r="AP732" s="5">
        <v>104300</v>
      </c>
      <c r="AQ732" s="6">
        <f t="shared" si="12"/>
        <v>0.1043</v>
      </c>
    </row>
    <row r="733" spans="42:50">
      <c r="AP733" s="5">
        <v>98340</v>
      </c>
      <c r="AQ733" s="6">
        <f t="shared" si="12"/>
        <v>9.8339999999999997E-2</v>
      </c>
    </row>
    <row r="734" spans="42:50">
      <c r="AP734" s="5">
        <v>102400</v>
      </c>
      <c r="AQ734" s="6">
        <f t="shared" si="12"/>
        <v>0.1024</v>
      </c>
    </row>
    <row r="735" spans="42:50">
      <c r="AP735" s="5">
        <v>119800</v>
      </c>
      <c r="AQ735" s="6">
        <f t="shared" si="12"/>
        <v>0.1198</v>
      </c>
    </row>
    <row r="736" spans="42:50">
      <c r="AP736" s="5">
        <v>164200</v>
      </c>
      <c r="AQ736" s="6">
        <f t="shared" si="12"/>
        <v>0.16420000000000001</v>
      </c>
    </row>
    <row r="737" spans="42:43">
      <c r="AP737" s="5">
        <v>124500</v>
      </c>
      <c r="AQ737" s="6">
        <f t="shared" si="12"/>
        <v>0.1245</v>
      </c>
    </row>
    <row r="738" spans="42:43">
      <c r="AP738" s="5">
        <v>215200</v>
      </c>
      <c r="AQ738" s="6">
        <f t="shared" si="12"/>
        <v>0.2152</v>
      </c>
    </row>
    <row r="739" spans="42:43">
      <c r="AP739" s="5">
        <v>278700</v>
      </c>
      <c r="AQ739" s="6">
        <f t="shared" si="12"/>
        <v>0.2787</v>
      </c>
    </row>
    <row r="740" spans="42:43">
      <c r="AP740" s="5">
        <v>333800</v>
      </c>
      <c r="AQ740" s="6">
        <f t="shared" si="12"/>
        <v>0.33379999999999999</v>
      </c>
    </row>
    <row r="741" spans="42:43">
      <c r="AP741" s="5">
        <v>116800</v>
      </c>
      <c r="AQ741" s="6">
        <f t="shared" si="12"/>
        <v>0.1168</v>
      </c>
    </row>
    <row r="742" spans="42:43">
      <c r="AP742" s="5">
        <v>65890</v>
      </c>
      <c r="AQ742" s="6">
        <f t="shared" si="12"/>
        <v>6.5890000000000004E-2</v>
      </c>
    </row>
    <row r="743" spans="42:43">
      <c r="AP743" s="5">
        <v>88750</v>
      </c>
      <c r="AQ743" s="6">
        <f t="shared" si="12"/>
        <v>8.8749999999999996E-2</v>
      </c>
    </row>
    <row r="744" spans="42:43">
      <c r="AP744" s="5">
        <v>45730</v>
      </c>
      <c r="AQ744" s="6">
        <f t="shared" si="12"/>
        <v>4.573E-2</v>
      </c>
    </row>
    <row r="745" spans="42:43">
      <c r="AP745" s="5">
        <v>25090</v>
      </c>
      <c r="AQ745" s="6">
        <f t="shared" si="12"/>
        <v>2.5090000000000001E-2</v>
      </c>
    </row>
    <row r="746" spans="42:43">
      <c r="AP746" s="5">
        <v>15160</v>
      </c>
      <c r="AQ746" s="6">
        <f t="shared" si="12"/>
        <v>1.516E-2</v>
      </c>
    </row>
    <row r="747" spans="42:43">
      <c r="AP747" s="5">
        <v>42570</v>
      </c>
      <c r="AQ747" s="6">
        <f t="shared" si="12"/>
        <v>4.2569999999999997E-2</v>
      </c>
    </row>
    <row r="748" spans="42:43">
      <c r="AP748" s="5">
        <v>16790</v>
      </c>
      <c r="AQ748" s="6">
        <f t="shared" si="12"/>
        <v>1.6789999999999999E-2</v>
      </c>
    </row>
    <row r="749" spans="42:43">
      <c r="AP749" s="5">
        <v>9183</v>
      </c>
      <c r="AQ749" s="6">
        <f t="shared" si="12"/>
        <v>9.1830000000000002E-3</v>
      </c>
    </row>
    <row r="750" spans="42:43">
      <c r="AP750" s="5">
        <v>6021</v>
      </c>
      <c r="AQ750" s="6">
        <f t="shared" si="12"/>
        <v>6.0210000000000003E-3</v>
      </c>
    </row>
    <row r="751" spans="42:43">
      <c r="AP751" s="5">
        <v>4372</v>
      </c>
      <c r="AQ751" s="6">
        <f t="shared" si="12"/>
        <v>4.372E-3</v>
      </c>
    </row>
    <row r="752" spans="42:43">
      <c r="AP752" s="5">
        <v>3361</v>
      </c>
      <c r="AQ752" s="6">
        <f t="shared" si="12"/>
        <v>3.3609999999999998E-3</v>
      </c>
    </row>
    <row r="761" spans="38:43" ht="15.75" thickBot="1"/>
    <row r="762" spans="38:43" ht="15.75" thickBot="1">
      <c r="AL762" s="18">
        <v>0</v>
      </c>
      <c r="AM762" s="12">
        <v>24.17</v>
      </c>
      <c r="AN762" s="8">
        <v>0.47599999999999998</v>
      </c>
      <c r="AO762" s="10">
        <f>(AM762+AN762)*1.1</f>
        <v>27.110600000000002</v>
      </c>
      <c r="AP762">
        <f>AO762+1</f>
        <v>28.110600000000002</v>
      </c>
      <c r="AQ762">
        <f>AO762*1.07</f>
        <v>29.008342000000003</v>
      </c>
    </row>
    <row r="763" spans="38:43" ht="15.75" thickBot="1">
      <c r="AL763" s="20">
        <v>0.01</v>
      </c>
      <c r="AM763" s="13">
        <v>24.02</v>
      </c>
      <c r="AN763" s="9">
        <v>1.9039999999999999</v>
      </c>
      <c r="AO763" s="10">
        <f t="shared" ref="AO763:AO775" si="13">(AM763+AN763)*1.1</f>
        <v>28.516400000000001</v>
      </c>
      <c r="AP763">
        <f>AO763+1</f>
        <v>29.516400000000001</v>
      </c>
      <c r="AQ763">
        <f t="shared" ref="AQ763:AQ797" si="14">AO763*1.07</f>
        <v>30.512548000000002</v>
      </c>
    </row>
    <row r="764" spans="38:43" ht="15.75" thickBot="1">
      <c r="AL764" s="20">
        <v>0.02</v>
      </c>
      <c r="AM764" s="13">
        <v>24.13</v>
      </c>
      <c r="AN764" s="9">
        <v>1.9039999999999999</v>
      </c>
      <c r="AO764" s="10">
        <f t="shared" si="13"/>
        <v>28.6374</v>
      </c>
      <c r="AP764">
        <f t="shared" ref="AP764:AP797" si="15">AO764+2</f>
        <v>30.6374</v>
      </c>
      <c r="AQ764">
        <f t="shared" si="14"/>
        <v>30.642018</v>
      </c>
    </row>
    <row r="765" spans="38:43" ht="15.75" thickBot="1">
      <c r="AL765" s="20">
        <v>0.03</v>
      </c>
      <c r="AM765" s="13">
        <v>24.27</v>
      </c>
      <c r="AN765" s="9">
        <v>1.9039999999999999</v>
      </c>
      <c r="AO765" s="10">
        <f t="shared" si="13"/>
        <v>28.791400000000003</v>
      </c>
      <c r="AP765">
        <f t="shared" si="15"/>
        <v>30.791400000000003</v>
      </c>
      <c r="AQ765">
        <f t="shared" si="14"/>
        <v>30.806798000000004</v>
      </c>
    </row>
    <row r="766" spans="38:43" ht="15.75" thickBot="1">
      <c r="AL766" s="20">
        <v>0.04</v>
      </c>
      <c r="AM766" s="13">
        <v>24.39</v>
      </c>
      <c r="AN766" s="9">
        <v>1.9039999999999999</v>
      </c>
      <c r="AO766" s="10">
        <f t="shared" si="13"/>
        <v>28.923400000000004</v>
      </c>
      <c r="AP766">
        <f t="shared" si="15"/>
        <v>30.923400000000004</v>
      </c>
      <c r="AQ766">
        <f t="shared" si="14"/>
        <v>30.948038000000007</v>
      </c>
    </row>
    <row r="767" spans="38:43" ht="15.75" thickBot="1">
      <c r="AL767" s="20">
        <v>0.05</v>
      </c>
      <c r="AM767" s="13">
        <v>24.48</v>
      </c>
      <c r="AN767" s="9">
        <v>1.9039999999999999</v>
      </c>
      <c r="AO767" s="10">
        <f t="shared" si="13"/>
        <v>29.022400000000001</v>
      </c>
      <c r="AP767">
        <f t="shared" si="15"/>
        <v>31.022400000000001</v>
      </c>
      <c r="AQ767">
        <f t="shared" si="14"/>
        <v>31.053968000000005</v>
      </c>
    </row>
    <row r="768" spans="38:43" ht="15.75" thickBot="1">
      <c r="AL768" s="20">
        <v>0.06</v>
      </c>
      <c r="AM768" s="13">
        <v>24.53</v>
      </c>
      <c r="AN768" s="9">
        <v>1.9039999999999999</v>
      </c>
      <c r="AO768" s="10">
        <f t="shared" si="13"/>
        <v>29.077400000000004</v>
      </c>
      <c r="AP768">
        <f t="shared" si="15"/>
        <v>31.077400000000004</v>
      </c>
      <c r="AQ768">
        <f t="shared" si="14"/>
        <v>31.112818000000008</v>
      </c>
    </row>
    <row r="769" spans="38:43" ht="15.75" thickBot="1">
      <c r="AL769" s="20">
        <v>7.0000000000000007E-2</v>
      </c>
      <c r="AM769" s="13">
        <v>24.53</v>
      </c>
      <c r="AN769" s="9">
        <v>1.9039999999999999</v>
      </c>
      <c r="AO769" s="10">
        <f t="shared" si="13"/>
        <v>29.077400000000004</v>
      </c>
      <c r="AP769">
        <f t="shared" si="15"/>
        <v>31.077400000000004</v>
      </c>
      <c r="AQ769">
        <f t="shared" si="14"/>
        <v>31.112818000000008</v>
      </c>
    </row>
    <row r="770" spans="38:43" ht="15.75" thickBot="1">
      <c r="AL770" s="20">
        <v>0.08</v>
      </c>
      <c r="AM770" s="13">
        <v>24.53</v>
      </c>
      <c r="AN770" s="9">
        <v>1.9039999999999999</v>
      </c>
      <c r="AO770" s="10">
        <f t="shared" si="13"/>
        <v>29.077400000000004</v>
      </c>
      <c r="AP770">
        <f t="shared" si="15"/>
        <v>31.077400000000004</v>
      </c>
      <c r="AQ770">
        <f t="shared" si="14"/>
        <v>31.112818000000008</v>
      </c>
    </row>
    <row r="771" spans="38:43" ht="15.75" thickBot="1">
      <c r="AL771" s="20">
        <v>0.09</v>
      </c>
      <c r="AM771" s="13">
        <v>24.58</v>
      </c>
      <c r="AN771" s="9">
        <v>1.9039999999999999</v>
      </c>
      <c r="AO771" s="10">
        <f t="shared" si="13"/>
        <v>29.132400000000001</v>
      </c>
      <c r="AP771">
        <f t="shared" si="15"/>
        <v>31.132400000000001</v>
      </c>
      <c r="AQ771">
        <f t="shared" si="14"/>
        <v>31.171668000000004</v>
      </c>
    </row>
    <row r="772" spans="38:43" ht="15.75" thickBot="1">
      <c r="AL772" s="20">
        <v>0.1</v>
      </c>
      <c r="AM772" s="13">
        <v>24.67</v>
      </c>
      <c r="AN772" s="9">
        <v>1.9039999999999999</v>
      </c>
      <c r="AO772" s="10">
        <f t="shared" si="13"/>
        <v>29.231400000000004</v>
      </c>
      <c r="AP772">
        <f t="shared" si="15"/>
        <v>31.231400000000004</v>
      </c>
      <c r="AQ772">
        <f t="shared" si="14"/>
        <v>31.277598000000005</v>
      </c>
    </row>
    <row r="773" spans="38:43" ht="15.75" thickBot="1">
      <c r="AL773" s="20">
        <v>0.11</v>
      </c>
      <c r="AM773" s="13">
        <v>25</v>
      </c>
      <c r="AN773" s="9">
        <v>1.9039999999999999</v>
      </c>
      <c r="AO773" s="10">
        <f t="shared" si="13"/>
        <v>29.594400000000004</v>
      </c>
      <c r="AP773">
        <f t="shared" si="15"/>
        <v>31.594400000000004</v>
      </c>
      <c r="AQ773">
        <f t="shared" si="14"/>
        <v>31.666008000000005</v>
      </c>
    </row>
    <row r="774" spans="38:43" ht="15.75" thickBot="1">
      <c r="AL774" s="20">
        <v>0.12</v>
      </c>
      <c r="AM774" s="13">
        <v>26.21</v>
      </c>
      <c r="AN774" s="9">
        <v>1.9039999999999999</v>
      </c>
      <c r="AO774" s="10">
        <f t="shared" si="13"/>
        <v>30.925400000000003</v>
      </c>
      <c r="AP774">
        <f t="shared" si="15"/>
        <v>32.925400000000003</v>
      </c>
      <c r="AQ774">
        <f t="shared" si="14"/>
        <v>33.090178000000009</v>
      </c>
    </row>
    <row r="775" spans="38:43" ht="15.75" thickBot="1">
      <c r="AL775" s="20">
        <v>0.13</v>
      </c>
      <c r="AM775" s="13">
        <v>28.61</v>
      </c>
      <c r="AN775" s="9">
        <v>1.9039999999999999</v>
      </c>
      <c r="AO775" s="10">
        <f t="shared" si="13"/>
        <v>33.565400000000004</v>
      </c>
      <c r="AP775">
        <f t="shared" si="15"/>
        <v>35.565400000000004</v>
      </c>
      <c r="AQ775">
        <f t="shared" si="14"/>
        <v>35.914978000000005</v>
      </c>
    </row>
    <row r="776" spans="38:43" ht="15.75" thickBot="1">
      <c r="AL776" s="20">
        <v>0.14000000000000001</v>
      </c>
      <c r="AM776" s="13">
        <v>32.869999999999997</v>
      </c>
      <c r="AN776" s="9">
        <v>1.9039999999999999</v>
      </c>
      <c r="AO776" s="10">
        <f>(AM776+AN776)*1.1</f>
        <v>38.251400000000004</v>
      </c>
      <c r="AP776">
        <f t="shared" si="15"/>
        <v>40.251400000000004</v>
      </c>
      <c r="AQ776">
        <f t="shared" si="14"/>
        <v>40.928998000000007</v>
      </c>
    </row>
    <row r="777" spans="38:43" ht="15.75" thickBot="1">
      <c r="AL777" s="20">
        <v>0.15</v>
      </c>
      <c r="AM777" s="13">
        <v>39.380000000000003</v>
      </c>
      <c r="AN777" s="9">
        <v>1.9039999999999999</v>
      </c>
      <c r="AO777" s="10">
        <f>(AM777+AN777)*1.1</f>
        <v>45.412400000000012</v>
      </c>
      <c r="AP777">
        <f t="shared" si="15"/>
        <v>47.412400000000012</v>
      </c>
      <c r="AQ777">
        <f t="shared" si="14"/>
        <v>48.591268000000014</v>
      </c>
    </row>
    <row r="778" spans="38:43" ht="15.75" thickBot="1">
      <c r="AL778" s="20">
        <v>0.16</v>
      </c>
      <c r="AM778" s="13">
        <v>50.03</v>
      </c>
      <c r="AN778" s="9">
        <v>1.639</v>
      </c>
      <c r="AO778" s="10">
        <f>(AM778+AN778)*1.1</f>
        <v>56.835900000000009</v>
      </c>
      <c r="AP778">
        <f t="shared" si="15"/>
        <v>58.835900000000009</v>
      </c>
      <c r="AQ778">
        <f t="shared" si="14"/>
        <v>60.814413000000016</v>
      </c>
    </row>
    <row r="779" spans="38:43" ht="15.75" thickBot="1">
      <c r="AL779" s="20">
        <v>0.17</v>
      </c>
      <c r="AM779" s="13">
        <v>57.48</v>
      </c>
      <c r="AN779" s="9">
        <v>1.238</v>
      </c>
      <c r="AO779" s="10">
        <f>(AM779+AN779)*1.01</f>
        <v>59.30518</v>
      </c>
      <c r="AP779">
        <f t="shared" si="15"/>
        <v>61.30518</v>
      </c>
      <c r="AQ779">
        <f t="shared" si="14"/>
        <v>63.456542600000006</v>
      </c>
    </row>
    <row r="780" spans="38:43" ht="15.75" thickBot="1">
      <c r="AL780" s="20">
        <v>0.182</v>
      </c>
      <c r="AM780" s="13">
        <v>58.95</v>
      </c>
      <c r="AN780" s="9">
        <v>0.95209999999999995</v>
      </c>
      <c r="AO780" s="10">
        <f>(AM780+AN780)*1</f>
        <v>59.902100000000004</v>
      </c>
      <c r="AP780">
        <f t="shared" si="15"/>
        <v>61.902100000000004</v>
      </c>
      <c r="AQ780">
        <f t="shared" si="14"/>
        <v>64.095247000000015</v>
      </c>
    </row>
    <row r="781" spans="38:43" ht="15.75" thickBot="1">
      <c r="AL781" s="20">
        <v>0.19</v>
      </c>
      <c r="AM781" s="13">
        <v>41.26</v>
      </c>
      <c r="AN781" s="9">
        <v>0.67349999999999999</v>
      </c>
      <c r="AO781" s="10">
        <f>(AM781+AN781)*1.3</f>
        <v>54.513549999999995</v>
      </c>
      <c r="AP781">
        <f t="shared" si="15"/>
        <v>56.513549999999995</v>
      </c>
      <c r="AQ781">
        <f t="shared" si="14"/>
        <v>58.3294985</v>
      </c>
    </row>
    <row r="782" spans="38:43" ht="15.75" thickBot="1">
      <c r="AL782" s="20">
        <v>0.2</v>
      </c>
      <c r="AM782" s="13">
        <v>29.26</v>
      </c>
      <c r="AN782" s="9">
        <v>0.46550000000000002</v>
      </c>
      <c r="AO782" s="10">
        <f t="shared" ref="AO782:AO797" si="16">(AM782+AN782)*1.3</f>
        <v>38.643149999999999</v>
      </c>
      <c r="AP782">
        <f t="shared" si="15"/>
        <v>40.643149999999999</v>
      </c>
      <c r="AQ782">
        <f t="shared" si="14"/>
        <v>41.348170500000002</v>
      </c>
    </row>
    <row r="783" spans="38:43" ht="15.75" thickBot="1">
      <c r="AL783" s="20">
        <v>0.21543999999999999</v>
      </c>
      <c r="AM783" s="13">
        <v>18.63</v>
      </c>
      <c r="AN783" s="9">
        <v>0.29720000000000002</v>
      </c>
      <c r="AO783" s="10">
        <f t="shared" si="16"/>
        <v>24.605360000000001</v>
      </c>
      <c r="AP783">
        <f t="shared" si="15"/>
        <v>26.605360000000001</v>
      </c>
      <c r="AQ783">
        <f t="shared" si="14"/>
        <v>26.327735200000003</v>
      </c>
    </row>
    <row r="784" spans="38:43" ht="15.75" thickBot="1">
      <c r="AL784" s="20">
        <v>0.24088000000000001</v>
      </c>
      <c r="AM784" s="13">
        <v>10.34</v>
      </c>
      <c r="AN784" s="9">
        <v>0.16669999999999999</v>
      </c>
      <c r="AO784" s="10">
        <f>(AM784+AN784)*1.17</f>
        <v>12.292838999999999</v>
      </c>
      <c r="AP784">
        <f t="shared" si="15"/>
        <v>14.292838999999999</v>
      </c>
      <c r="AQ784">
        <f t="shared" si="14"/>
        <v>13.153337730000001</v>
      </c>
    </row>
    <row r="785" spans="36:43" ht="15.75" thickBot="1">
      <c r="AL785" s="20">
        <v>0.28176000000000001</v>
      </c>
      <c r="AM785" s="13">
        <v>5.2229999999999999</v>
      </c>
      <c r="AN785" s="9">
        <v>8.4900000000000003E-2</v>
      </c>
      <c r="AO785" s="10">
        <f t="shared" ref="AO785:AO797" si="17">(AM785+AN785)*1.17</f>
        <v>6.2102429999999993</v>
      </c>
      <c r="AP785">
        <f t="shared" si="15"/>
        <v>8.2102429999999984</v>
      </c>
      <c r="AQ785">
        <f t="shared" si="14"/>
        <v>6.6449600099999993</v>
      </c>
    </row>
    <row r="786" spans="36:43" ht="15.75" thickBot="1">
      <c r="AL786" s="20">
        <v>0.38228000000000001</v>
      </c>
      <c r="AM786" s="13">
        <v>1.7949999999999999</v>
      </c>
      <c r="AN786" s="9">
        <v>2.9700000000000001E-2</v>
      </c>
      <c r="AO786" s="10">
        <f t="shared" si="17"/>
        <v>2.1348989999999999</v>
      </c>
      <c r="AP786">
        <f t="shared" si="15"/>
        <v>4.1348989999999999</v>
      </c>
      <c r="AQ786">
        <f t="shared" si="14"/>
        <v>2.2843419300000001</v>
      </c>
    </row>
    <row r="787" spans="36:43" ht="15.75" thickBot="1">
      <c r="AL787" s="20">
        <v>0.49428</v>
      </c>
      <c r="AM787" s="13">
        <v>0.83899999999999997</v>
      </c>
      <c r="AN787" s="9">
        <v>1.44E-2</v>
      </c>
      <c r="AO787" s="10">
        <f t="shared" si="17"/>
        <v>0.99847799999999987</v>
      </c>
      <c r="AP787">
        <f t="shared" si="15"/>
        <v>2.998478</v>
      </c>
      <c r="AQ787">
        <f t="shared" si="14"/>
        <v>1.0683714599999998</v>
      </c>
    </row>
    <row r="788" spans="36:43" ht="15.75" thickBot="1">
      <c r="AL788" s="20">
        <v>0.60628000000000004</v>
      </c>
      <c r="AM788" s="13">
        <v>0.497</v>
      </c>
      <c r="AN788" s="9">
        <v>8.8000000000000005E-3</v>
      </c>
      <c r="AO788" s="10">
        <f t="shared" si="17"/>
        <v>0.59178600000000003</v>
      </c>
      <c r="AP788">
        <f t="shared" si="15"/>
        <v>2.5917859999999999</v>
      </c>
      <c r="AQ788">
        <f t="shared" si="14"/>
        <v>0.63321102000000007</v>
      </c>
    </row>
    <row r="789" spans="36:43" ht="15.75" thickBot="1">
      <c r="AL789" s="20">
        <v>0.71828000000000003</v>
      </c>
      <c r="AM789" s="13">
        <v>0.33900000000000002</v>
      </c>
      <c r="AN789" s="9">
        <v>6.1000000000000004E-3</v>
      </c>
      <c r="AO789" s="10">
        <f t="shared" si="17"/>
        <v>0.40376699999999999</v>
      </c>
      <c r="AP789">
        <f t="shared" si="15"/>
        <v>2.4037670000000002</v>
      </c>
      <c r="AQ789">
        <f t="shared" si="14"/>
        <v>0.43203068999999999</v>
      </c>
    </row>
    <row r="790" spans="36:43" ht="15.75" thickBot="1">
      <c r="AL790" s="20">
        <v>0.83028000000000002</v>
      </c>
      <c r="AM790" s="13">
        <v>0.253</v>
      </c>
      <c r="AN790" s="9">
        <v>4.5999999999999999E-3</v>
      </c>
      <c r="AO790" s="10">
        <f t="shared" si="17"/>
        <v>0.30139199999999999</v>
      </c>
      <c r="AP790">
        <f t="shared" si="15"/>
        <v>2.3013919999999999</v>
      </c>
      <c r="AQ790">
        <f t="shared" si="14"/>
        <v>0.32248944000000002</v>
      </c>
    </row>
    <row r="791" spans="36:43" ht="15.75" thickBot="1">
      <c r="AL791" s="20">
        <v>0.94228000000000001</v>
      </c>
      <c r="AM791" s="13">
        <v>0.2</v>
      </c>
      <c r="AN791" s="9">
        <v>3.7000000000000002E-3</v>
      </c>
      <c r="AO791" s="10">
        <f t="shared" si="17"/>
        <v>0.23832900000000001</v>
      </c>
      <c r="AP791">
        <f t="shared" si="15"/>
        <v>2.2383290000000002</v>
      </c>
      <c r="AQ791">
        <f t="shared" si="14"/>
        <v>0.25501203000000006</v>
      </c>
    </row>
    <row r="792" spans="36:43" ht="15.75" thickBot="1">
      <c r="AL792" s="20">
        <v>1.0542800000000001</v>
      </c>
      <c r="AM792" s="13">
        <v>0.16300000000000001</v>
      </c>
      <c r="AN792" s="9">
        <v>3.0999999999999999E-3</v>
      </c>
      <c r="AO792" s="10">
        <f t="shared" si="17"/>
        <v>0.19433699999999998</v>
      </c>
      <c r="AP792">
        <f t="shared" si="15"/>
        <v>2.194337</v>
      </c>
      <c r="AQ792">
        <f t="shared" si="14"/>
        <v>0.20794058999999998</v>
      </c>
    </row>
    <row r="793" spans="36:43" ht="15.75" thickBot="1">
      <c r="AL793" s="20">
        <v>1.16628</v>
      </c>
      <c r="AM793" s="13">
        <v>0.13600000000000001</v>
      </c>
      <c r="AN793" s="9">
        <v>2.5999999999999999E-3</v>
      </c>
      <c r="AO793" s="10">
        <f t="shared" si="17"/>
        <v>0.162162</v>
      </c>
      <c r="AP793">
        <f t="shared" si="15"/>
        <v>2.1621619999999999</v>
      </c>
      <c r="AQ793">
        <f t="shared" si="14"/>
        <v>0.17351334000000002</v>
      </c>
    </row>
    <row r="794" spans="36:43" ht="15.75" thickBot="1">
      <c r="AL794" s="20">
        <v>1.2782800000000001</v>
      </c>
      <c r="AM794" s="13">
        <v>0.11799999999999999</v>
      </c>
      <c r="AN794" s="9">
        <v>2.2000000000000001E-3</v>
      </c>
      <c r="AO794" s="10">
        <f t="shared" si="17"/>
        <v>0.14063399999999998</v>
      </c>
      <c r="AP794">
        <f t="shared" si="15"/>
        <v>2.1406339999999999</v>
      </c>
      <c r="AQ794">
        <f t="shared" si="14"/>
        <v>0.15047837999999999</v>
      </c>
    </row>
    <row r="795" spans="36:43" ht="15.75" thickBot="1">
      <c r="AL795" s="20">
        <v>1.39028</v>
      </c>
      <c r="AM795" s="13">
        <v>0.105</v>
      </c>
      <c r="AN795" s="9">
        <v>2E-3</v>
      </c>
      <c r="AO795" s="10">
        <f t="shared" si="17"/>
        <v>0.12519</v>
      </c>
      <c r="AP795">
        <f t="shared" si="15"/>
        <v>2.1251899999999999</v>
      </c>
      <c r="AQ795">
        <f t="shared" si="14"/>
        <v>0.1339533</v>
      </c>
    </row>
    <row r="796" spans="36:43" ht="15.75" thickBot="1">
      <c r="AL796" s="20">
        <v>1.5022800000000001</v>
      </c>
      <c r="AM796" s="13">
        <v>9.5000000000000001E-2</v>
      </c>
      <c r="AN796" s="9">
        <v>1.8E-3</v>
      </c>
      <c r="AO796" s="10">
        <f t="shared" si="17"/>
        <v>0.113256</v>
      </c>
      <c r="AP796">
        <f t="shared" si="15"/>
        <v>2.1132559999999998</v>
      </c>
      <c r="AQ796">
        <f t="shared" si="14"/>
        <v>0.12118392</v>
      </c>
    </row>
    <row r="797" spans="36:43" ht="15.75" thickBot="1">
      <c r="AL797" s="20">
        <v>1.6222799999999999</v>
      </c>
      <c r="AM797" s="13">
        <v>8.6999999999999994E-2</v>
      </c>
      <c r="AN797" s="9">
        <v>1.6999999999999999E-3</v>
      </c>
      <c r="AO797" s="10">
        <f t="shared" si="17"/>
        <v>0.10377899999999998</v>
      </c>
      <c r="AP797">
        <f t="shared" si="15"/>
        <v>2.1037789999999998</v>
      </c>
      <c r="AQ797">
        <f t="shared" si="14"/>
        <v>0.11104352999999999</v>
      </c>
    </row>
    <row r="799" spans="36:43" ht="15.75" thickBot="1">
      <c r="AJ799" t="s">
        <v>0</v>
      </c>
    </row>
    <row r="800" spans="36:43" ht="15.75" thickBot="1">
      <c r="AJ800" s="18">
        <v>229</v>
      </c>
    </row>
    <row r="801" spans="36:60" ht="15.75" thickBot="1">
      <c r="AJ801" s="21">
        <v>223</v>
      </c>
    </row>
    <row r="802" spans="36:60" ht="15.75" thickBot="1">
      <c r="AJ802" s="21">
        <v>218</v>
      </c>
    </row>
    <row r="803" spans="36:60" ht="15.75" thickBot="1">
      <c r="AJ803" s="21">
        <v>213</v>
      </c>
    </row>
    <row r="804" spans="36:60" ht="15.75" thickBot="1">
      <c r="AJ804" s="21">
        <v>208</v>
      </c>
    </row>
    <row r="805" spans="36:60" ht="15.75" thickBot="1">
      <c r="AJ805" s="21">
        <v>203</v>
      </c>
    </row>
    <row r="806" spans="36:60" ht="15.75" thickBot="1">
      <c r="AJ806" s="21">
        <v>198</v>
      </c>
    </row>
    <row r="807" spans="36:60" ht="15.75" thickBot="1">
      <c r="AJ807" s="21">
        <v>194</v>
      </c>
    </row>
    <row r="808" spans="36:60" ht="15.75" thickBot="1">
      <c r="AJ808" s="21">
        <v>189</v>
      </c>
    </row>
    <row r="809" spans="36:60" ht="15.75" thickBot="1">
      <c r="AJ809" s="21">
        <v>185</v>
      </c>
    </row>
    <row r="810" spans="36:60" ht="15.75" thickBot="1">
      <c r="AJ810" s="21">
        <v>180</v>
      </c>
      <c r="AQ810" s="18">
        <v>228.8</v>
      </c>
      <c r="AR810" s="21">
        <v>233.4</v>
      </c>
      <c r="AS810" s="21">
        <v>241.2</v>
      </c>
      <c r="AT810" s="21">
        <v>251.9</v>
      </c>
      <c r="AU810" s="21">
        <v>276.60000000000002</v>
      </c>
      <c r="AV810" s="21">
        <v>287.8</v>
      </c>
      <c r="AW810" s="21">
        <v>295.5</v>
      </c>
      <c r="AX810" s="21">
        <v>30.6</v>
      </c>
      <c r="AY810" s="21">
        <v>304.2</v>
      </c>
      <c r="AZ810" s="21">
        <v>306.8</v>
      </c>
      <c r="BA810" s="21">
        <v>312.7</v>
      </c>
    </row>
    <row r="811" spans="36:60" ht="15.75" thickBot="1">
      <c r="AJ811" s="21">
        <v>176</v>
      </c>
    </row>
    <row r="812" spans="36:60" ht="15.75" thickBot="1">
      <c r="AJ812" s="21">
        <v>171</v>
      </c>
    </row>
    <row r="813" spans="36:60" ht="15.75" thickBot="1">
      <c r="AJ813" s="21">
        <v>166</v>
      </c>
      <c r="AM813" s="18">
        <v>229</v>
      </c>
      <c r="AN813" s="21">
        <v>223</v>
      </c>
      <c r="AO813" s="21">
        <v>218</v>
      </c>
      <c r="AP813" s="21">
        <v>213</v>
      </c>
      <c r="AQ813" s="21">
        <v>208</v>
      </c>
      <c r="AR813" s="21">
        <v>203</v>
      </c>
      <c r="AS813" s="21">
        <v>198</v>
      </c>
      <c r="AT813" s="21">
        <v>194</v>
      </c>
      <c r="AU813" s="21">
        <v>189</v>
      </c>
      <c r="AV813" s="21">
        <v>185</v>
      </c>
      <c r="AW813" s="21">
        <v>180</v>
      </c>
      <c r="AX813" s="21">
        <v>176</v>
      </c>
      <c r="AY813" s="21">
        <v>171</v>
      </c>
      <c r="AZ813" s="21">
        <v>166</v>
      </c>
      <c r="BA813" s="21">
        <v>160</v>
      </c>
      <c r="BB813" s="21">
        <v>154</v>
      </c>
      <c r="BC813" s="21">
        <v>147</v>
      </c>
      <c r="BD813" s="22">
        <v>139</v>
      </c>
      <c r="BE813" s="23">
        <v>132</v>
      </c>
      <c r="BF813" s="23">
        <v>125</v>
      </c>
      <c r="BG813" s="23">
        <v>119</v>
      </c>
      <c r="BH813" s="24">
        <v>110</v>
      </c>
    </row>
    <row r="814" spans="36:60" ht="15.75" thickBot="1">
      <c r="AJ814" s="21">
        <v>160</v>
      </c>
    </row>
    <row r="815" spans="36:60" ht="15.75" thickBot="1">
      <c r="AJ815" s="21">
        <v>154</v>
      </c>
    </row>
    <row r="816" spans="36:60" ht="15.75" thickBot="1">
      <c r="AJ816" s="21">
        <v>147</v>
      </c>
    </row>
    <row r="817" spans="35:36" ht="15.75" thickBot="1">
      <c r="AJ817" s="22">
        <v>139</v>
      </c>
    </row>
    <row r="818" spans="35:36" ht="15.75" thickBot="1">
      <c r="AJ818" s="23">
        <v>132</v>
      </c>
    </row>
    <row r="819" spans="35:36" ht="15.75" thickBot="1">
      <c r="AJ819" s="23">
        <v>125</v>
      </c>
    </row>
    <row r="820" spans="35:36" ht="15.75" thickBot="1">
      <c r="AJ820" s="23">
        <v>119</v>
      </c>
    </row>
    <row r="821" spans="35:36" ht="15.75" thickBot="1">
      <c r="AI821" s="18">
        <v>228.8</v>
      </c>
      <c r="AJ821" s="24">
        <v>110</v>
      </c>
    </row>
    <row r="822" spans="35:36" ht="15.75" thickBot="1">
      <c r="AI822" s="21">
        <v>233.4</v>
      </c>
    </row>
    <row r="823" spans="35:36" ht="15.75" thickBot="1">
      <c r="AI823" s="21">
        <v>241.2</v>
      </c>
    </row>
    <row r="824" spans="35:36" ht="15.75" thickBot="1">
      <c r="AI824" s="21">
        <v>251.9</v>
      </c>
    </row>
    <row r="825" spans="35:36" ht="15.75" thickBot="1">
      <c r="AI825" s="21">
        <v>276.60000000000002</v>
      </c>
    </row>
    <row r="826" spans="35:36" ht="15.75" thickBot="1">
      <c r="AI826" s="21">
        <v>287.8</v>
      </c>
    </row>
    <row r="827" spans="35:36" ht="15.75" thickBot="1">
      <c r="AI827" s="21">
        <v>295.5</v>
      </c>
    </row>
    <row r="828" spans="35:36" ht="15.75" thickBot="1">
      <c r="AI828" s="21">
        <v>30.6</v>
      </c>
    </row>
    <row r="829" spans="35:36" ht="15.75" thickBot="1">
      <c r="AI829" s="21">
        <v>304.2</v>
      </c>
    </row>
    <row r="830" spans="35:36" ht="15.75" thickBot="1">
      <c r="AI830" s="21">
        <v>306.8</v>
      </c>
    </row>
    <row r="831" spans="35:36" ht="15.75" thickBot="1">
      <c r="AI831" s="21">
        <v>312.7</v>
      </c>
    </row>
    <row r="899" spans="1:18" ht="15.75" thickBot="1">
      <c r="B899" t="s">
        <v>0</v>
      </c>
      <c r="D899" t="s">
        <v>1</v>
      </c>
      <c r="E899" t="s">
        <v>3</v>
      </c>
      <c r="L899" t="s">
        <v>2</v>
      </c>
      <c r="O899" t="s">
        <v>3</v>
      </c>
    </row>
    <row r="900" spans="1:18" ht="15.75" thickBot="1">
      <c r="A900" s="18">
        <v>0</v>
      </c>
      <c r="B900" s="18">
        <v>229</v>
      </c>
      <c r="D900" s="1">
        <v>626</v>
      </c>
      <c r="E900">
        <v>502.77</v>
      </c>
      <c r="L900" s="10">
        <v>24.646000000000001</v>
      </c>
      <c r="M900">
        <f>L900*1000000</f>
        <v>24646000</v>
      </c>
      <c r="O900">
        <f t="shared" ref="O900:O920" si="18">D900-M900*0.001/200</f>
        <v>502.77</v>
      </c>
      <c r="R900" s="18">
        <v>0</v>
      </c>
    </row>
    <row r="901" spans="1:18" ht="15.75" thickBot="1">
      <c r="A901" s="20">
        <v>0.01</v>
      </c>
      <c r="B901" s="21">
        <v>223</v>
      </c>
      <c r="D901" s="3">
        <v>637</v>
      </c>
      <c r="E901">
        <v>507.38</v>
      </c>
      <c r="L901" s="16">
        <v>25.923999999999999</v>
      </c>
      <c r="M901">
        <f t="shared" ref="M901:M923" si="19">L901*1000000</f>
        <v>25924000</v>
      </c>
      <c r="O901">
        <f t="shared" si="18"/>
        <v>507.38</v>
      </c>
      <c r="R901" s="20">
        <v>0.01</v>
      </c>
    </row>
    <row r="902" spans="1:18" ht="15.75" thickBot="1">
      <c r="A902" s="20">
        <v>0.02</v>
      </c>
      <c r="B902" s="21">
        <v>218</v>
      </c>
      <c r="D902" s="3">
        <v>627</v>
      </c>
      <c r="E902">
        <v>496.83000000000004</v>
      </c>
      <c r="L902" s="16">
        <v>26.033999999999999</v>
      </c>
      <c r="M902">
        <f t="shared" si="19"/>
        <v>26034000</v>
      </c>
      <c r="O902">
        <f t="shared" si="18"/>
        <v>496.83000000000004</v>
      </c>
      <c r="R902" s="20">
        <v>0.02</v>
      </c>
    </row>
    <row r="903" spans="1:18" ht="15.75" thickBot="1">
      <c r="A903" s="20">
        <v>0.03</v>
      </c>
      <c r="B903" s="21">
        <v>213</v>
      </c>
      <c r="D903" s="3">
        <v>616</v>
      </c>
      <c r="E903">
        <v>485.13</v>
      </c>
      <c r="L903" s="16">
        <v>26.173999999999999</v>
      </c>
      <c r="M903">
        <f t="shared" si="19"/>
        <v>26174000</v>
      </c>
      <c r="O903">
        <f t="shared" si="18"/>
        <v>485.13</v>
      </c>
      <c r="R903" s="20">
        <v>0.03</v>
      </c>
    </row>
    <row r="904" spans="1:18" ht="15.75" thickBot="1">
      <c r="A904" s="20">
        <v>0.04</v>
      </c>
      <c r="B904" s="21">
        <v>208</v>
      </c>
      <c r="D904" s="3">
        <v>607</v>
      </c>
      <c r="E904">
        <v>475.53</v>
      </c>
      <c r="L904" s="16">
        <v>26.294</v>
      </c>
      <c r="M904">
        <f t="shared" si="19"/>
        <v>26294000</v>
      </c>
      <c r="O904">
        <f t="shared" si="18"/>
        <v>475.53</v>
      </c>
      <c r="R904" s="20">
        <v>0.04</v>
      </c>
    </row>
    <row r="905" spans="1:18" ht="15.75" thickBot="1">
      <c r="A905" s="20">
        <v>0.05</v>
      </c>
      <c r="B905" s="21">
        <v>203</v>
      </c>
      <c r="D905" s="3">
        <v>601</v>
      </c>
      <c r="E905">
        <v>469.08000000000004</v>
      </c>
      <c r="L905" s="16">
        <v>26.384</v>
      </c>
      <c r="M905">
        <f t="shared" si="19"/>
        <v>26384000</v>
      </c>
      <c r="O905">
        <f t="shared" si="18"/>
        <v>469.08000000000004</v>
      </c>
      <c r="R905" s="20">
        <v>0.05</v>
      </c>
    </row>
    <row r="906" spans="1:18" ht="15.75" thickBot="1">
      <c r="A906" s="20">
        <v>0.06</v>
      </c>
      <c r="B906" s="21">
        <v>198</v>
      </c>
      <c r="D906" s="3">
        <v>600</v>
      </c>
      <c r="E906">
        <v>467.83000000000004</v>
      </c>
      <c r="L906" s="16">
        <v>26.434000000000001</v>
      </c>
      <c r="M906">
        <f t="shared" si="19"/>
        <v>26434000</v>
      </c>
      <c r="O906">
        <f t="shared" si="18"/>
        <v>467.83000000000004</v>
      </c>
      <c r="R906" s="20">
        <v>0.06</v>
      </c>
    </row>
    <row r="907" spans="1:18" ht="15.75" thickBot="1">
      <c r="A907" s="20">
        <v>7.0000000000000007E-2</v>
      </c>
      <c r="B907" s="21">
        <v>194</v>
      </c>
      <c r="D907" s="3">
        <v>601</v>
      </c>
      <c r="E907">
        <v>468.83000000000004</v>
      </c>
      <c r="L907" s="16">
        <v>26.434000000000001</v>
      </c>
      <c r="M907">
        <f t="shared" si="19"/>
        <v>26434000</v>
      </c>
      <c r="O907">
        <f t="shared" si="18"/>
        <v>468.83000000000004</v>
      </c>
      <c r="R907" s="20">
        <v>7.0000000000000007E-2</v>
      </c>
    </row>
    <row r="908" spans="1:18" ht="15.75" thickBot="1">
      <c r="A908" s="20">
        <v>0.08</v>
      </c>
      <c r="B908" s="21">
        <v>189</v>
      </c>
      <c r="D908" s="3">
        <v>599</v>
      </c>
      <c r="E908">
        <v>466.83000000000004</v>
      </c>
      <c r="L908" s="16">
        <v>26.434000000000001</v>
      </c>
      <c r="M908">
        <f t="shared" si="19"/>
        <v>26434000</v>
      </c>
      <c r="O908">
        <f t="shared" si="18"/>
        <v>466.83000000000004</v>
      </c>
      <c r="R908" s="20">
        <v>0.08</v>
      </c>
    </row>
    <row r="909" spans="1:18" ht="15.75" thickBot="1">
      <c r="A909" s="20">
        <v>0.09</v>
      </c>
      <c r="B909" s="21">
        <v>185</v>
      </c>
      <c r="D909" s="3">
        <v>592</v>
      </c>
      <c r="E909">
        <v>459.58000000000004</v>
      </c>
      <c r="L909" s="16">
        <v>26.484000000000002</v>
      </c>
      <c r="M909">
        <f t="shared" si="19"/>
        <v>26484000</v>
      </c>
      <c r="O909">
        <f t="shared" si="18"/>
        <v>459.58000000000004</v>
      </c>
      <c r="R909" s="20">
        <v>0.09</v>
      </c>
    </row>
    <row r="910" spans="1:18" ht="15.75" thickBot="1">
      <c r="A910" s="20">
        <v>0.1</v>
      </c>
      <c r="B910" s="21">
        <v>180</v>
      </c>
      <c r="D910" s="3">
        <v>584</v>
      </c>
      <c r="E910">
        <v>451.13</v>
      </c>
      <c r="L910" s="16">
        <v>26.574000000000002</v>
      </c>
      <c r="M910">
        <f t="shared" si="19"/>
        <v>26574000</v>
      </c>
      <c r="O910">
        <f t="shared" si="18"/>
        <v>451.13</v>
      </c>
      <c r="R910" s="20">
        <v>0.1</v>
      </c>
    </row>
    <row r="911" spans="1:18" ht="15.75" thickBot="1">
      <c r="A911" s="20">
        <v>0.11</v>
      </c>
      <c r="B911" s="21">
        <v>176</v>
      </c>
      <c r="D911" s="3">
        <v>582</v>
      </c>
      <c r="E911">
        <v>447.48</v>
      </c>
      <c r="L911" s="16">
        <v>26.904</v>
      </c>
      <c r="M911">
        <f t="shared" si="19"/>
        <v>26904000</v>
      </c>
      <c r="O911">
        <f t="shared" si="18"/>
        <v>447.48</v>
      </c>
      <c r="R911" s="20">
        <v>0.11</v>
      </c>
    </row>
    <row r="912" spans="1:18" ht="15.75" thickBot="1">
      <c r="A912" s="20">
        <v>0.12</v>
      </c>
      <c r="B912" s="21">
        <v>171</v>
      </c>
      <c r="D912" s="3">
        <v>587</v>
      </c>
      <c r="E912">
        <v>446.43</v>
      </c>
      <c r="L912" s="16">
        <v>28.114000000000001</v>
      </c>
      <c r="M912">
        <f t="shared" si="19"/>
        <v>28114000</v>
      </c>
      <c r="O912">
        <f t="shared" si="18"/>
        <v>446.43</v>
      </c>
      <c r="R912" s="20">
        <v>0.12</v>
      </c>
    </row>
    <row r="913" spans="1:18" ht="15.75" thickBot="1">
      <c r="A913" s="20">
        <v>0.13</v>
      </c>
      <c r="B913" s="21">
        <v>166</v>
      </c>
      <c r="D913" s="3">
        <v>597</v>
      </c>
      <c r="E913">
        <v>441.13</v>
      </c>
      <c r="L913" s="16">
        <v>30.513999999999999</v>
      </c>
      <c r="M913">
        <f t="shared" si="19"/>
        <v>30514000</v>
      </c>
      <c r="O913">
        <f t="shared" si="18"/>
        <v>444.43</v>
      </c>
      <c r="R913" s="20">
        <v>0.13</v>
      </c>
    </row>
    <row r="914" spans="1:18" ht="15.75" thickBot="1">
      <c r="A914" s="20">
        <v>0.14000000000000001</v>
      </c>
      <c r="B914" s="21">
        <v>160</v>
      </c>
      <c r="D914" s="3">
        <v>615</v>
      </c>
      <c r="E914">
        <v>524.58000000000004</v>
      </c>
      <c r="L914" s="16">
        <v>34.774000000000001</v>
      </c>
      <c r="M914">
        <f t="shared" si="19"/>
        <v>34774000</v>
      </c>
      <c r="O914">
        <f t="shared" si="18"/>
        <v>441.13</v>
      </c>
      <c r="R914" s="20">
        <v>0.14000000000000001</v>
      </c>
    </row>
    <row r="915" spans="1:18" ht="15.75" thickBot="1">
      <c r="A915" s="20">
        <v>0.15</v>
      </c>
      <c r="B915" s="21">
        <v>154</v>
      </c>
      <c r="D915" s="3">
        <v>731</v>
      </c>
      <c r="E915">
        <v>520.65499999999997</v>
      </c>
      <c r="L915" s="16">
        <v>41.283999999999999</v>
      </c>
      <c r="M915">
        <f t="shared" si="19"/>
        <v>41284000</v>
      </c>
      <c r="O915">
        <f t="shared" si="18"/>
        <v>524.58000000000004</v>
      </c>
      <c r="R915" s="20">
        <v>0.15</v>
      </c>
    </row>
    <row r="916" spans="1:18" ht="15.75" thickBot="1">
      <c r="A916" s="20">
        <v>0.16</v>
      </c>
      <c r="B916" s="21">
        <v>147</v>
      </c>
      <c r="D916" s="3">
        <v>779</v>
      </c>
      <c r="E916">
        <v>509.41</v>
      </c>
      <c r="L916" s="16">
        <v>51.668999999999997</v>
      </c>
      <c r="M916">
        <f t="shared" si="19"/>
        <v>51669000</v>
      </c>
      <c r="O916">
        <f t="shared" si="18"/>
        <v>520.65499999999997</v>
      </c>
      <c r="R916" s="20">
        <v>0.16</v>
      </c>
    </row>
    <row r="917" spans="1:18" ht="15.75" thickBot="1">
      <c r="A917" s="20">
        <v>0.17</v>
      </c>
      <c r="B917" s="22">
        <v>139</v>
      </c>
      <c r="D917" s="3">
        <v>803</v>
      </c>
      <c r="E917">
        <v>504.48950000000002</v>
      </c>
      <c r="L917" s="16">
        <v>58.718000000000004</v>
      </c>
      <c r="M917">
        <f t="shared" si="19"/>
        <v>58718000</v>
      </c>
      <c r="O917">
        <f t="shared" si="18"/>
        <v>509.41</v>
      </c>
      <c r="R917" s="20">
        <v>0.17</v>
      </c>
    </row>
    <row r="918" spans="1:18" ht="15.75" thickBot="1">
      <c r="A918" s="20">
        <v>0.182</v>
      </c>
      <c r="B918" s="23">
        <v>132</v>
      </c>
      <c r="D918" s="3">
        <v>804</v>
      </c>
      <c r="E918">
        <v>479.33249999999998</v>
      </c>
      <c r="L918" s="16">
        <v>59.902099999999997</v>
      </c>
      <c r="M918">
        <f t="shared" si="19"/>
        <v>59902100</v>
      </c>
      <c r="O918">
        <f t="shared" si="18"/>
        <v>504.48950000000002</v>
      </c>
      <c r="R918" s="20">
        <v>0.182</v>
      </c>
    </row>
    <row r="919" spans="1:18" ht="15.75" thickBot="1">
      <c r="A919" s="20">
        <v>0.19</v>
      </c>
      <c r="B919" s="23">
        <v>125</v>
      </c>
      <c r="D919" s="3">
        <v>689</v>
      </c>
      <c r="E919">
        <v>449.3725</v>
      </c>
      <c r="L919" s="16">
        <v>41.933500000000002</v>
      </c>
      <c r="M919">
        <f t="shared" si="19"/>
        <v>41933500</v>
      </c>
      <c r="O919">
        <f t="shared" si="18"/>
        <v>479.33249999999998</v>
      </c>
      <c r="R919" s="20">
        <v>0.19</v>
      </c>
    </row>
    <row r="920" spans="1:18" ht="15.75" thickBot="1">
      <c r="A920" s="20">
        <v>0.2</v>
      </c>
      <c r="B920" s="23">
        <v>119</v>
      </c>
      <c r="D920" s="3">
        <v>598</v>
      </c>
      <c r="E920">
        <v>404.36399999999998</v>
      </c>
      <c r="L920" s="16">
        <v>29.7255</v>
      </c>
      <c r="M920">
        <f t="shared" si="19"/>
        <v>29725500</v>
      </c>
      <c r="O920">
        <f t="shared" si="18"/>
        <v>449.3725</v>
      </c>
      <c r="R920" s="20">
        <v>0.2</v>
      </c>
    </row>
    <row r="921" spans="1:18" ht="15.75" thickBot="1">
      <c r="A921" s="20">
        <v>0.21543999999999999</v>
      </c>
      <c r="B921" s="24">
        <v>110</v>
      </c>
      <c r="C921" s="18">
        <v>228.8</v>
      </c>
      <c r="D921" s="17">
        <v>802.5</v>
      </c>
      <c r="E921">
        <v>512.11142857142863</v>
      </c>
      <c r="I921" s="26">
        <v>802.5</v>
      </c>
      <c r="L921" s="16">
        <v>18.927199999999999</v>
      </c>
      <c r="M921">
        <f t="shared" si="19"/>
        <v>18927200</v>
      </c>
      <c r="O921" t="e">
        <f>#REF!-M921*0.001/200</f>
        <v>#REF!</v>
      </c>
      <c r="P921">
        <f t="shared" ref="P921:P931" si="20">D921-M921*0.001/70-20</f>
        <v>512.11142857142863</v>
      </c>
      <c r="R921" s="20">
        <v>0.21543999999999999</v>
      </c>
    </row>
    <row r="922" spans="1:18" ht="15.75" thickBot="1">
      <c r="A922" s="20">
        <v>0.24088000000000001</v>
      </c>
      <c r="C922" s="21">
        <v>233.4</v>
      </c>
      <c r="D922" s="19">
        <v>679.75600000000009</v>
      </c>
      <c r="E922">
        <v>509.66028571428581</v>
      </c>
      <c r="I922" s="27">
        <v>679.75600000000009</v>
      </c>
      <c r="L922" s="16">
        <v>10.5067</v>
      </c>
      <c r="M922">
        <f t="shared" si="19"/>
        <v>10506700</v>
      </c>
      <c r="P922">
        <f t="shared" si="20"/>
        <v>509.66028571428581</v>
      </c>
      <c r="R922" s="20">
        <v>0.24088000000000001</v>
      </c>
    </row>
    <row r="923" spans="1:18" ht="15.75" thickBot="1">
      <c r="A923" s="20">
        <v>0.28176000000000001</v>
      </c>
      <c r="C923" s="21">
        <v>241.2</v>
      </c>
      <c r="D923" s="19">
        <v>514.85500000000002</v>
      </c>
      <c r="E923">
        <v>419.02785714285716</v>
      </c>
      <c r="I923" s="27">
        <v>514.85500000000002</v>
      </c>
      <c r="L923" s="16">
        <v>5.3079000000000001</v>
      </c>
      <c r="M923">
        <f t="shared" si="19"/>
        <v>5307900</v>
      </c>
      <c r="P923">
        <f t="shared" si="20"/>
        <v>419.02785714285716</v>
      </c>
      <c r="R923" s="20">
        <v>0.28176000000000001</v>
      </c>
    </row>
    <row r="924" spans="1:18" ht="15.75" thickBot="1">
      <c r="A924" s="20">
        <v>0.38228000000000001</v>
      </c>
      <c r="C924" s="21">
        <v>251.9</v>
      </c>
      <c r="D924" s="19">
        <v>429.97500000000002</v>
      </c>
      <c r="E924">
        <v>357.84071428571428</v>
      </c>
      <c r="I924" s="27">
        <v>429.97500000000002</v>
      </c>
      <c r="L924" s="16">
        <v>1.8247</v>
      </c>
      <c r="M924">
        <f>L924*2000000</f>
        <v>3649400</v>
      </c>
      <c r="P924">
        <f t="shared" si="20"/>
        <v>357.84071428571428</v>
      </c>
      <c r="R924" s="20">
        <v>0.38228000000000001</v>
      </c>
    </row>
    <row r="925" spans="1:18" ht="15.75" thickBot="1">
      <c r="A925" s="20">
        <v>0.49428</v>
      </c>
      <c r="C925" s="21">
        <v>276.60000000000002</v>
      </c>
      <c r="D925" s="19">
        <v>355.12399999999997</v>
      </c>
      <c r="E925">
        <v>310.74114285714285</v>
      </c>
      <c r="I925" s="27">
        <v>355.12399999999997</v>
      </c>
      <c r="L925" s="16">
        <v>0.85340000000000005</v>
      </c>
      <c r="M925">
        <f t="shared" ref="M925:M935" si="21">L925*2000000</f>
        <v>1706800</v>
      </c>
      <c r="P925">
        <f t="shared" si="20"/>
        <v>310.74114285714285</v>
      </c>
      <c r="R925" s="20">
        <v>0.49428</v>
      </c>
    </row>
    <row r="926" spans="1:18" ht="15.75" thickBot="1">
      <c r="A926" s="20">
        <v>0.60628000000000004</v>
      </c>
      <c r="C926" s="21">
        <v>287.8</v>
      </c>
      <c r="D926" s="19">
        <v>348.46</v>
      </c>
      <c r="E926">
        <v>314.00857142857143</v>
      </c>
      <c r="I926" s="27">
        <v>348.46</v>
      </c>
      <c r="L926" s="16">
        <v>0.50580000000000003</v>
      </c>
      <c r="M926">
        <f t="shared" si="21"/>
        <v>1011600</v>
      </c>
      <c r="P926">
        <f t="shared" si="20"/>
        <v>314.00857142857143</v>
      </c>
      <c r="R926" s="20">
        <v>0.60628000000000004</v>
      </c>
    </row>
    <row r="927" spans="1:18" ht="15.75" thickBot="1">
      <c r="A927" s="20">
        <v>0.71828000000000003</v>
      </c>
      <c r="C927" s="21">
        <v>295.5</v>
      </c>
      <c r="D927" s="19">
        <v>346.72399999999999</v>
      </c>
      <c r="E927">
        <v>316.86399999999998</v>
      </c>
      <c r="I927" s="27">
        <v>346.72399999999999</v>
      </c>
      <c r="L927" s="16">
        <v>0.34510000000000002</v>
      </c>
      <c r="M927">
        <f t="shared" si="21"/>
        <v>690200</v>
      </c>
      <c r="P927">
        <f t="shared" si="20"/>
        <v>316.86399999999998</v>
      </c>
      <c r="R927" s="20">
        <v>0.71828000000000003</v>
      </c>
    </row>
    <row r="928" spans="1:18" ht="15.75" thickBot="1">
      <c r="A928" s="20">
        <v>0.83028000000000002</v>
      </c>
      <c r="C928" s="21">
        <v>300.60000000000002</v>
      </c>
      <c r="D928" s="19">
        <v>347.10199999999998</v>
      </c>
      <c r="E928">
        <v>319.74199999999996</v>
      </c>
      <c r="I928" s="27">
        <v>347.10199999999998</v>
      </c>
      <c r="L928" s="16">
        <v>0.2576</v>
      </c>
      <c r="M928">
        <f t="shared" si="21"/>
        <v>515200</v>
      </c>
      <c r="P928">
        <f t="shared" si="20"/>
        <v>319.74199999999996</v>
      </c>
      <c r="R928" s="20">
        <v>0.83028000000000002</v>
      </c>
    </row>
    <row r="929" spans="1:18" ht="15.75" thickBot="1">
      <c r="A929" s="20">
        <v>0.94228000000000001</v>
      </c>
      <c r="C929" s="21">
        <v>304.2</v>
      </c>
      <c r="D929" s="19">
        <v>348.41800000000001</v>
      </c>
      <c r="E929">
        <v>322.59800000000001</v>
      </c>
      <c r="I929" s="27">
        <v>348.41800000000001</v>
      </c>
      <c r="L929" s="16">
        <v>0.20369999999999999</v>
      </c>
      <c r="M929">
        <f t="shared" si="21"/>
        <v>407400</v>
      </c>
      <c r="P929">
        <f t="shared" si="20"/>
        <v>322.59800000000001</v>
      </c>
      <c r="R929" s="20">
        <v>0.94228000000000001</v>
      </c>
    </row>
    <row r="930" spans="1:18" ht="15.75" thickBot="1">
      <c r="A930" s="20">
        <v>1.0542800000000001</v>
      </c>
      <c r="C930" s="21">
        <v>306.8</v>
      </c>
      <c r="D930" s="19">
        <v>350.12599999999998</v>
      </c>
      <c r="E930">
        <v>325.38028571428572</v>
      </c>
      <c r="I930" s="27">
        <v>350.12599999999998</v>
      </c>
      <c r="L930" s="16">
        <v>0.1661</v>
      </c>
      <c r="M930">
        <f t="shared" si="21"/>
        <v>332200</v>
      </c>
      <c r="P930">
        <f t="shared" si="20"/>
        <v>325.38028571428572</v>
      </c>
      <c r="R930" s="20">
        <v>1.0542800000000001</v>
      </c>
    </row>
    <row r="931" spans="1:18" ht="15.75" thickBot="1">
      <c r="A931" s="20">
        <v>1.16628</v>
      </c>
      <c r="C931" s="21">
        <v>312.7</v>
      </c>
      <c r="D931" s="19">
        <v>352.11399999999998</v>
      </c>
      <c r="E931">
        <v>328.154</v>
      </c>
      <c r="I931" s="27">
        <v>352.11399999999998</v>
      </c>
      <c r="L931" s="16">
        <v>0.1386</v>
      </c>
      <c r="M931">
        <f t="shared" si="21"/>
        <v>277200</v>
      </c>
      <c r="P931">
        <f t="shared" si="20"/>
        <v>328.154</v>
      </c>
      <c r="R931" s="20">
        <v>1.16628</v>
      </c>
    </row>
    <row r="932" spans="1:18" ht="15.75" thickBot="1">
      <c r="A932" s="20">
        <v>1.2782800000000001</v>
      </c>
      <c r="D932" s="19">
        <v>1327</v>
      </c>
      <c r="L932" s="16">
        <v>0.1202</v>
      </c>
      <c r="M932">
        <f t="shared" si="21"/>
        <v>240400</v>
      </c>
      <c r="R932" s="20">
        <v>1.2782800000000001</v>
      </c>
    </row>
    <row r="933" spans="1:18" ht="15.75" thickBot="1">
      <c r="A933" s="20">
        <v>1.39028</v>
      </c>
      <c r="D933" s="25">
        <v>1251</v>
      </c>
      <c r="L933" s="16">
        <v>0.107</v>
      </c>
      <c r="M933">
        <f t="shared" si="21"/>
        <v>214000</v>
      </c>
      <c r="R933" s="20">
        <v>1.39028</v>
      </c>
    </row>
    <row r="934" spans="1:18" ht="15.75" thickBot="1">
      <c r="A934" s="20">
        <v>1.5022800000000001</v>
      </c>
      <c r="D934" s="25">
        <v>1194</v>
      </c>
      <c r="L934" s="16">
        <v>9.6799999999999997E-2</v>
      </c>
      <c r="M934">
        <f t="shared" si="21"/>
        <v>193600</v>
      </c>
      <c r="R934" s="20">
        <v>1.5022800000000001</v>
      </c>
    </row>
    <row r="935" spans="1:18" ht="15.75" thickBot="1">
      <c r="A935" s="20">
        <v>1.6222799999999999</v>
      </c>
      <c r="D935" s="25">
        <v>1143</v>
      </c>
      <c r="L935" s="16">
        <v>8.8700000000000001E-2</v>
      </c>
      <c r="M935">
        <f t="shared" si="21"/>
        <v>177400</v>
      </c>
      <c r="R935" s="20">
        <v>1.6222799999999999</v>
      </c>
    </row>
    <row r="951" spans="8:12" ht="15.75" thickBot="1"/>
    <row r="952" spans="8:12" ht="15.75" thickBot="1">
      <c r="H952" s="17"/>
      <c r="J952" s="17">
        <v>617.96</v>
      </c>
      <c r="K952">
        <v>1.1000000000000001</v>
      </c>
      <c r="L952">
        <f>J952*K952</f>
        <v>679.75600000000009</v>
      </c>
    </row>
    <row r="953" spans="8:12" ht="15.75" thickBot="1">
      <c r="H953" s="19"/>
      <c r="J953" s="19">
        <v>468.05</v>
      </c>
      <c r="K953">
        <v>1.1000000000000001</v>
      </c>
      <c r="L953">
        <f t="shared" ref="L953:L961" si="22">J953*K953</f>
        <v>514.85500000000002</v>
      </c>
    </row>
    <row r="954" spans="8:12" ht="15.75" thickBot="1">
      <c r="H954" s="19"/>
      <c r="J954" s="19">
        <v>330.75</v>
      </c>
      <c r="K954">
        <v>1.3</v>
      </c>
      <c r="L954">
        <f t="shared" si="22"/>
        <v>429.97500000000002</v>
      </c>
    </row>
    <row r="955" spans="8:12" ht="15.75" thickBot="1">
      <c r="H955" s="19"/>
      <c r="J955" s="19">
        <v>253.66</v>
      </c>
      <c r="K955">
        <v>1.4</v>
      </c>
      <c r="L955">
        <f t="shared" si="22"/>
        <v>355.12399999999997</v>
      </c>
    </row>
    <row r="956" spans="8:12" ht="15.75" thickBot="1">
      <c r="H956" s="19"/>
      <c r="J956" s="19">
        <v>248.9</v>
      </c>
      <c r="K956">
        <v>1.4</v>
      </c>
      <c r="L956">
        <f t="shared" si="22"/>
        <v>348.46</v>
      </c>
    </row>
    <row r="957" spans="8:12" ht="15.75" thickBot="1">
      <c r="H957" s="19"/>
      <c r="J957" s="19">
        <v>247.66</v>
      </c>
      <c r="K957">
        <v>1.4</v>
      </c>
      <c r="L957">
        <f t="shared" si="22"/>
        <v>346.72399999999999</v>
      </c>
    </row>
    <row r="958" spans="8:12" ht="15.75" thickBot="1">
      <c r="H958" s="19"/>
      <c r="J958" s="19">
        <v>247.93</v>
      </c>
      <c r="K958">
        <v>1.4</v>
      </c>
      <c r="L958">
        <f t="shared" si="22"/>
        <v>347.10199999999998</v>
      </c>
    </row>
    <row r="959" spans="8:12" ht="15.75" thickBot="1">
      <c r="H959" s="19"/>
      <c r="J959" s="19">
        <v>248.87</v>
      </c>
      <c r="K959">
        <v>1.4</v>
      </c>
      <c r="L959">
        <f t="shared" si="22"/>
        <v>348.41800000000001</v>
      </c>
    </row>
    <row r="960" spans="8:12" ht="15.75" thickBot="1">
      <c r="H960" s="19"/>
      <c r="J960" s="19">
        <v>250.09</v>
      </c>
      <c r="K960">
        <v>1.4</v>
      </c>
      <c r="L960">
        <f t="shared" si="22"/>
        <v>350.12599999999998</v>
      </c>
    </row>
    <row r="961" spans="10:12" ht="15.75" thickBot="1">
      <c r="J961" s="19">
        <v>251.51</v>
      </c>
      <c r="K961">
        <v>1.4</v>
      </c>
      <c r="L961">
        <f t="shared" si="22"/>
        <v>352.11399999999998</v>
      </c>
    </row>
    <row r="999" spans="2:3" ht="15.75" thickBot="1">
      <c r="C999" t="s">
        <v>4</v>
      </c>
    </row>
    <row r="1000" spans="2:3" ht="15.75" thickBot="1">
      <c r="B1000" s="18">
        <v>0</v>
      </c>
      <c r="C1000" s="18">
        <v>229</v>
      </c>
    </row>
    <row r="1001" spans="2:3" ht="15.75" thickBot="1">
      <c r="B1001" s="20">
        <v>0.01</v>
      </c>
      <c r="C1001" s="21">
        <v>223</v>
      </c>
    </row>
    <row r="1002" spans="2:3" ht="15.75" thickBot="1">
      <c r="B1002" s="20">
        <v>0.02</v>
      </c>
      <c r="C1002" s="21">
        <v>218</v>
      </c>
    </row>
    <row r="1003" spans="2:3" ht="15.75" thickBot="1">
      <c r="B1003" s="20">
        <v>0.03</v>
      </c>
      <c r="C1003" s="21">
        <v>213</v>
      </c>
    </row>
    <row r="1004" spans="2:3" ht="15.75" thickBot="1">
      <c r="B1004" s="20">
        <v>0.04</v>
      </c>
      <c r="C1004" s="21">
        <v>208</v>
      </c>
    </row>
    <row r="1005" spans="2:3" ht="15.75" thickBot="1">
      <c r="B1005" s="20">
        <v>0.05</v>
      </c>
      <c r="C1005" s="21">
        <v>203</v>
      </c>
    </row>
    <row r="1006" spans="2:3" ht="15.75" thickBot="1">
      <c r="B1006" s="20">
        <v>0.06</v>
      </c>
      <c r="C1006" s="21">
        <v>198</v>
      </c>
    </row>
    <row r="1007" spans="2:3" ht="15.75" thickBot="1">
      <c r="B1007" s="20">
        <v>7.0000000000000007E-2</v>
      </c>
      <c r="C1007" s="21">
        <v>194</v>
      </c>
    </row>
    <row r="1008" spans="2:3" ht="15.75" thickBot="1">
      <c r="B1008" s="20">
        <v>0.08</v>
      </c>
      <c r="C1008" s="21">
        <v>189</v>
      </c>
    </row>
    <row r="1009" spans="2:4" ht="15.75" thickBot="1">
      <c r="B1009" s="20">
        <v>0.09</v>
      </c>
      <c r="C1009" s="21">
        <v>185</v>
      </c>
    </row>
    <row r="1010" spans="2:4" ht="15.75" thickBot="1">
      <c r="B1010" s="20">
        <v>0.1</v>
      </c>
      <c r="C1010" s="21">
        <v>180</v>
      </c>
    </row>
    <row r="1011" spans="2:4" ht="15.75" thickBot="1">
      <c r="B1011" s="20">
        <v>0.11</v>
      </c>
      <c r="C1011" s="21">
        <v>176</v>
      </c>
    </row>
    <row r="1012" spans="2:4" ht="15.75" thickBot="1">
      <c r="B1012" s="20">
        <v>0.12</v>
      </c>
      <c r="C1012" s="21">
        <v>171</v>
      </c>
    </row>
    <row r="1013" spans="2:4" ht="15.75" thickBot="1">
      <c r="B1013" s="20">
        <v>0.13</v>
      </c>
      <c r="C1013" s="21">
        <v>166</v>
      </c>
    </row>
    <row r="1014" spans="2:4" ht="15.75" thickBot="1">
      <c r="B1014" s="20">
        <v>0.14000000000000001</v>
      </c>
      <c r="C1014" s="21">
        <v>160</v>
      </c>
    </row>
    <row r="1015" spans="2:4" ht="15.75" thickBot="1">
      <c r="B1015" s="20">
        <v>0.15</v>
      </c>
      <c r="C1015" s="21">
        <v>154</v>
      </c>
    </row>
    <row r="1016" spans="2:4" ht="15.75" thickBot="1">
      <c r="B1016" s="20">
        <v>0.16</v>
      </c>
      <c r="C1016" s="21">
        <v>147</v>
      </c>
    </row>
    <row r="1017" spans="2:4" ht="15.75" thickBot="1">
      <c r="B1017" s="20">
        <v>0.17</v>
      </c>
      <c r="C1017" s="22">
        <v>139</v>
      </c>
    </row>
    <row r="1018" spans="2:4" ht="15.75" thickBot="1">
      <c r="B1018" s="20">
        <v>0.182</v>
      </c>
      <c r="C1018" s="23">
        <v>132</v>
      </c>
    </row>
    <row r="1019" spans="2:4" ht="15.75" thickBot="1">
      <c r="B1019" s="20">
        <v>0.19</v>
      </c>
      <c r="C1019" s="23">
        <v>125</v>
      </c>
    </row>
    <row r="1020" spans="2:4" ht="15.75" thickBot="1">
      <c r="B1020" s="20">
        <v>0.2</v>
      </c>
      <c r="C1020" s="23">
        <v>119</v>
      </c>
    </row>
    <row r="1021" spans="2:4" ht="15.75" thickBot="1">
      <c r="B1021" s="20">
        <v>0.21543999999999999</v>
      </c>
      <c r="C1021" s="24">
        <v>110</v>
      </c>
      <c r="D1021" s="18">
        <v>228.8</v>
      </c>
    </row>
    <row r="1022" spans="2:4" ht="15.75" thickBot="1">
      <c r="B1022" s="20">
        <v>0.24088000000000001</v>
      </c>
      <c r="D1022" s="21">
        <v>233.4</v>
      </c>
    </row>
    <row r="1023" spans="2:4" ht="15.75" thickBot="1">
      <c r="B1023" s="20">
        <v>0.28176000000000001</v>
      </c>
      <c r="D1023" s="21">
        <v>241.2</v>
      </c>
    </row>
    <row r="1024" spans="2:4" ht="15.75" thickBot="1">
      <c r="B1024" s="20">
        <v>0.38228000000000001</v>
      </c>
      <c r="D1024" s="21">
        <v>251.9</v>
      </c>
    </row>
    <row r="1025" spans="2:4" ht="15.75" thickBot="1">
      <c r="B1025" s="20">
        <v>0.49428</v>
      </c>
      <c r="D1025" s="21">
        <v>276.60000000000002</v>
      </c>
    </row>
    <row r="1026" spans="2:4" ht="15.75" thickBot="1">
      <c r="B1026" s="20">
        <v>0.60628000000000004</v>
      </c>
      <c r="D1026" s="21">
        <v>287.8</v>
      </c>
    </row>
    <row r="1027" spans="2:4" ht="15.75" thickBot="1">
      <c r="B1027" s="20">
        <v>0.71828000000000003</v>
      </c>
      <c r="D1027" s="21">
        <v>295.5</v>
      </c>
    </row>
    <row r="1028" spans="2:4" ht="15.75" thickBot="1">
      <c r="B1028" s="20">
        <v>0.83028000000000002</v>
      </c>
      <c r="D1028" s="21">
        <v>306.2</v>
      </c>
    </row>
    <row r="1029" spans="2:4" ht="15.75" thickBot="1">
      <c r="B1029" s="20">
        <v>0.94228000000000001</v>
      </c>
      <c r="D1029" s="21">
        <v>304.2</v>
      </c>
    </row>
    <row r="1030" spans="2:4" ht="15.75" thickBot="1">
      <c r="B1030" s="20">
        <v>1.0542800000000001</v>
      </c>
      <c r="D1030" s="21">
        <v>306.8</v>
      </c>
    </row>
    <row r="1031" spans="2:4" ht="15.75" thickBot="1">
      <c r="B1031" s="20">
        <v>1.16628</v>
      </c>
      <c r="D1031" s="21">
        <v>312.7</v>
      </c>
    </row>
    <row r="1032" spans="2:4" ht="15.75" thickBot="1">
      <c r="B1032" s="20">
        <v>1.2782800000000001</v>
      </c>
    </row>
    <row r="1033" spans="2:4" ht="15.75" thickBot="1">
      <c r="B1033" s="20">
        <v>1.39028</v>
      </c>
    </row>
    <row r="1034" spans="2:4" ht="15.75" thickBot="1">
      <c r="B1034" s="20">
        <v>1.5022800000000001</v>
      </c>
    </row>
    <row r="1035" spans="2:4" ht="15.75" thickBot="1">
      <c r="B1035" s="20">
        <v>1.6222799999999999</v>
      </c>
    </row>
    <row r="1099" spans="1:15" ht="15.75" thickBot="1">
      <c r="B1099" t="s">
        <v>5</v>
      </c>
      <c r="D1099" t="s">
        <v>6</v>
      </c>
      <c r="G1099" t="s">
        <v>7</v>
      </c>
      <c r="O1099" t="s">
        <v>8</v>
      </c>
    </row>
    <row r="1100" spans="1:15" ht="15.75" thickBot="1">
      <c r="A1100" s="18">
        <v>0</v>
      </c>
      <c r="B1100" s="18">
        <v>229</v>
      </c>
      <c r="D1100" s="1">
        <v>626</v>
      </c>
      <c r="G1100">
        <f>D1100-O1100*0.001/200</f>
        <v>502.77</v>
      </c>
      <c r="O1100">
        <v>24646000</v>
      </c>
    </row>
    <row r="1101" spans="1:15" ht="15.75" thickBot="1">
      <c r="A1101" s="20">
        <v>0.01</v>
      </c>
      <c r="B1101" s="21">
        <v>223</v>
      </c>
      <c r="D1101" s="3">
        <v>637</v>
      </c>
      <c r="G1101">
        <f>D1101-O1101*0.001/200</f>
        <v>507.38</v>
      </c>
      <c r="O1101">
        <v>25924000</v>
      </c>
    </row>
    <row r="1102" spans="1:15" ht="15.75" thickBot="1">
      <c r="A1102" s="20">
        <v>0.02</v>
      </c>
      <c r="B1102" s="21">
        <v>218</v>
      </c>
      <c r="D1102" s="3">
        <v>627</v>
      </c>
      <c r="G1102">
        <f>D1102-O1102*0.001/200</f>
        <v>496.83000000000004</v>
      </c>
      <c r="O1102">
        <v>26034000</v>
      </c>
    </row>
    <row r="1103" spans="1:15" ht="15.75" thickBot="1">
      <c r="A1103" s="20">
        <v>0.03</v>
      </c>
      <c r="B1103" s="21">
        <v>213</v>
      </c>
      <c r="D1103" s="3">
        <v>616</v>
      </c>
      <c r="G1103">
        <f>D1103-O1103*0.001/200</f>
        <v>485.13</v>
      </c>
      <c r="O1103">
        <v>26174000</v>
      </c>
    </row>
    <row r="1104" spans="1:15" ht="15.75" thickBot="1">
      <c r="A1104" s="20">
        <v>0.04</v>
      </c>
      <c r="B1104" s="21">
        <v>208</v>
      </c>
      <c r="D1104" s="3">
        <v>607</v>
      </c>
      <c r="G1104">
        <f>D1104-O1104*0.001/200</f>
        <v>475.53</v>
      </c>
      <c r="O1104">
        <v>26294000</v>
      </c>
    </row>
    <row r="1105" spans="1:15" ht="15.75" thickBot="1">
      <c r="A1105" s="20">
        <v>0.05</v>
      </c>
      <c r="B1105" s="21">
        <v>203</v>
      </c>
      <c r="D1105" s="3">
        <v>601</v>
      </c>
      <c r="G1105">
        <f>D1105-O1105*0.001/200</f>
        <v>469.08000000000004</v>
      </c>
      <c r="O1105">
        <v>26384000</v>
      </c>
    </row>
    <row r="1106" spans="1:15" ht="15.75" thickBot="1">
      <c r="A1106" s="20">
        <v>0.06</v>
      </c>
      <c r="B1106" s="21">
        <v>198</v>
      </c>
      <c r="D1106" s="3">
        <v>600</v>
      </c>
      <c r="G1106">
        <f>D1106-O1106*0.001/200</f>
        <v>467.83000000000004</v>
      </c>
      <c r="O1106">
        <v>26434000</v>
      </c>
    </row>
    <row r="1107" spans="1:15" ht="15.75" thickBot="1">
      <c r="A1107" s="20">
        <v>7.0000000000000007E-2</v>
      </c>
      <c r="B1107" s="21">
        <v>194</v>
      </c>
      <c r="D1107" s="3">
        <v>601</v>
      </c>
      <c r="G1107">
        <f>D1107-O1107*0.001/200</f>
        <v>468.83000000000004</v>
      </c>
      <c r="O1107">
        <v>26434000</v>
      </c>
    </row>
    <row r="1108" spans="1:15" ht="15.75" thickBot="1">
      <c r="A1108" s="20">
        <v>0.08</v>
      </c>
      <c r="B1108" s="21">
        <v>189</v>
      </c>
      <c r="D1108" s="3">
        <v>599</v>
      </c>
      <c r="G1108">
        <f>D1108-O1108*0.001/200</f>
        <v>466.83000000000004</v>
      </c>
      <c r="O1108">
        <v>26434000</v>
      </c>
    </row>
    <row r="1109" spans="1:15" ht="15.75" thickBot="1">
      <c r="A1109" s="20">
        <v>0.09</v>
      </c>
      <c r="B1109" s="21">
        <v>185</v>
      </c>
      <c r="D1109" s="3">
        <v>592</v>
      </c>
      <c r="G1109">
        <f>D1109-O1109*0.001/200</f>
        <v>459.58000000000004</v>
      </c>
      <c r="O1109">
        <v>26484000</v>
      </c>
    </row>
    <row r="1110" spans="1:15" ht="15.75" thickBot="1">
      <c r="A1110" s="20">
        <v>0.1</v>
      </c>
      <c r="B1110" s="21">
        <v>180</v>
      </c>
      <c r="D1110" s="3">
        <v>584</v>
      </c>
      <c r="G1110">
        <f>D1110-O1110*0.001/200</f>
        <v>451.13</v>
      </c>
      <c r="O1110">
        <v>26574000</v>
      </c>
    </row>
    <row r="1111" spans="1:15" ht="15.75" thickBot="1">
      <c r="A1111" s="20">
        <v>0.11</v>
      </c>
      <c r="B1111" s="21">
        <v>176</v>
      </c>
      <c r="D1111" s="3">
        <v>582</v>
      </c>
      <c r="G1111">
        <f>D1111-O1111*0.001/200</f>
        <v>447.48</v>
      </c>
      <c r="O1111">
        <v>26904000</v>
      </c>
    </row>
    <row r="1112" spans="1:15" ht="15.75" thickBot="1">
      <c r="A1112" s="20">
        <v>0.12</v>
      </c>
      <c r="B1112" s="21">
        <v>171</v>
      </c>
      <c r="D1112" s="3">
        <v>587</v>
      </c>
      <c r="G1112">
        <f>D1112-O1112*0.001/200</f>
        <v>446.43</v>
      </c>
      <c r="O1112">
        <v>28114000</v>
      </c>
    </row>
    <row r="1113" spans="1:15" ht="15.75" thickBot="1">
      <c r="A1113" s="20">
        <v>0.13</v>
      </c>
      <c r="B1113" s="21">
        <v>166</v>
      </c>
      <c r="D1113" s="3">
        <v>597</v>
      </c>
      <c r="G1113">
        <f>D1113-O1113*0.001/200</f>
        <v>444.43</v>
      </c>
      <c r="O1113">
        <v>30514000</v>
      </c>
    </row>
    <row r="1114" spans="1:15" ht="15.75" thickBot="1">
      <c r="A1114" s="20">
        <v>0.14000000000000001</v>
      </c>
      <c r="B1114" s="21">
        <v>160</v>
      </c>
      <c r="D1114" s="3">
        <v>615</v>
      </c>
      <c r="G1114">
        <f>D1114-O1114*0.001/200</f>
        <v>441.13</v>
      </c>
      <c r="O1114">
        <v>34774000</v>
      </c>
    </row>
    <row r="1115" spans="1:15" ht="15.75" thickBot="1">
      <c r="A1115" s="20">
        <v>0.15</v>
      </c>
      <c r="B1115" s="21">
        <v>154</v>
      </c>
      <c r="D1115" s="3">
        <v>731</v>
      </c>
      <c r="G1115">
        <f>D1115-O1115*0.001/200</f>
        <v>524.58000000000004</v>
      </c>
      <c r="O1115">
        <v>41284000</v>
      </c>
    </row>
    <row r="1116" spans="1:15" ht="15.75" thickBot="1">
      <c r="A1116" s="20">
        <v>0.16</v>
      </c>
      <c r="B1116" s="21">
        <v>147</v>
      </c>
      <c r="D1116" s="3">
        <v>779</v>
      </c>
      <c r="G1116">
        <f>D1116-O1116*0.001/200</f>
        <v>520.65499999999997</v>
      </c>
      <c r="O1116">
        <v>51669000</v>
      </c>
    </row>
    <row r="1117" spans="1:15" ht="15.75" thickBot="1">
      <c r="A1117" s="20">
        <v>0.17</v>
      </c>
      <c r="B1117" s="22">
        <v>139</v>
      </c>
      <c r="D1117" s="3">
        <v>803</v>
      </c>
      <c r="G1117">
        <f>D1117-O1117*0.001/200</f>
        <v>509.41</v>
      </c>
      <c r="O1117">
        <v>58718000</v>
      </c>
    </row>
    <row r="1118" spans="1:15" ht="15.75" thickBot="1">
      <c r="A1118" s="20">
        <v>0.182</v>
      </c>
      <c r="B1118" s="23">
        <v>132</v>
      </c>
      <c r="D1118" s="3">
        <v>804</v>
      </c>
      <c r="G1118">
        <f>D1118-O1118*0.001/200</f>
        <v>504.48950000000002</v>
      </c>
      <c r="O1118">
        <v>59902100</v>
      </c>
    </row>
    <row r="1119" spans="1:15" ht="15.75" thickBot="1">
      <c r="A1119" s="20">
        <v>0.19</v>
      </c>
      <c r="B1119" s="23">
        <v>125</v>
      </c>
      <c r="D1119" s="3">
        <v>689</v>
      </c>
      <c r="G1119">
        <f>D1119-O1119*0.001/200</f>
        <v>479.33249999999998</v>
      </c>
      <c r="O1119">
        <v>41933500</v>
      </c>
    </row>
    <row r="1120" spans="1:15" ht="15.75" thickBot="1">
      <c r="A1120" s="20">
        <v>0.2</v>
      </c>
      <c r="B1120" s="23">
        <v>119</v>
      </c>
      <c r="D1120" s="3">
        <v>598</v>
      </c>
      <c r="G1120">
        <f>D1120-O1120*0.001/200</f>
        <v>449.3725</v>
      </c>
      <c r="O1120">
        <v>29725500</v>
      </c>
    </row>
    <row r="1121" spans="1:15" ht="15.75" thickBot="1">
      <c r="A1121" s="20">
        <v>0.21543999999999999</v>
      </c>
      <c r="B1121" s="24">
        <v>110</v>
      </c>
      <c r="C1121" s="18">
        <v>228.8</v>
      </c>
      <c r="D1121" s="3">
        <v>499</v>
      </c>
      <c r="E1121" s="17">
        <v>753</v>
      </c>
      <c r="G1121">
        <f>D1121-O1121*0.001/200</f>
        <v>404.36399999999998</v>
      </c>
      <c r="H1121">
        <v>550</v>
      </c>
      <c r="O1121">
        <v>18927200</v>
      </c>
    </row>
    <row r="1122" spans="1:15" ht="15.75" thickBot="1">
      <c r="A1122" s="20">
        <v>0.24088000000000001</v>
      </c>
      <c r="C1122" s="21">
        <v>233.4</v>
      </c>
      <c r="E1122" s="19">
        <v>680</v>
      </c>
      <c r="H1122">
        <f>E1122-O1122*0.001/70-20</f>
        <v>509.90428571428572</v>
      </c>
      <c r="O1122">
        <v>10506700</v>
      </c>
    </row>
    <row r="1123" spans="1:15" ht="15.75" thickBot="1">
      <c r="A1123" s="20">
        <v>0.28176000000000001</v>
      </c>
      <c r="C1123" s="21">
        <v>241.2</v>
      </c>
      <c r="E1123" s="19">
        <v>515</v>
      </c>
      <c r="H1123">
        <f>E1123-O1123*0.001/70-20</f>
        <v>419.17285714285714</v>
      </c>
      <c r="O1123">
        <v>5307900</v>
      </c>
    </row>
    <row r="1124" spans="1:15" ht="15.75" thickBot="1">
      <c r="A1124" s="20">
        <v>0.38228000000000001</v>
      </c>
      <c r="C1124" s="21">
        <v>251.9</v>
      </c>
      <c r="E1124" s="19">
        <v>430</v>
      </c>
      <c r="H1124">
        <f>E1124-O1124*0.001/70-20</f>
        <v>357.86571428571426</v>
      </c>
      <c r="O1124">
        <v>3649400</v>
      </c>
    </row>
    <row r="1125" spans="1:15" ht="15.75" thickBot="1">
      <c r="A1125" s="20">
        <v>0.49428</v>
      </c>
      <c r="C1125" s="21">
        <v>276.60000000000002</v>
      </c>
      <c r="E1125" s="19">
        <v>355</v>
      </c>
      <c r="H1125">
        <f>E1125-O1125*0.001/70-20</f>
        <v>310.61714285714288</v>
      </c>
      <c r="O1125">
        <v>1706800</v>
      </c>
    </row>
    <row r="1126" spans="1:15" ht="15.75" thickBot="1">
      <c r="A1126" s="20">
        <v>0.60628000000000004</v>
      </c>
      <c r="C1126" s="21">
        <v>287.8</v>
      </c>
      <c r="E1126" s="19">
        <v>348</v>
      </c>
      <c r="H1126">
        <f>E1126-O1126*0.001/70-20</f>
        <v>313.54857142857145</v>
      </c>
      <c r="O1126">
        <v>1011600</v>
      </c>
    </row>
    <row r="1127" spans="1:15" ht="15.75" thickBot="1">
      <c r="A1127" s="20">
        <v>0.71828000000000003</v>
      </c>
      <c r="C1127" s="21">
        <v>295.5</v>
      </c>
      <c r="E1127" s="19">
        <v>347</v>
      </c>
      <c r="H1127">
        <f>E1127-O1127*0.001/70-20</f>
        <v>317.14</v>
      </c>
      <c r="O1127">
        <v>690200</v>
      </c>
    </row>
    <row r="1128" spans="1:15" ht="15.75" thickBot="1">
      <c r="A1128" s="20">
        <v>0.83028000000000002</v>
      </c>
      <c r="C1128" s="21">
        <v>300.60000000000002</v>
      </c>
      <c r="E1128" s="19">
        <v>347</v>
      </c>
      <c r="H1128">
        <f>E1128-O1128*0.001/70-20</f>
        <v>319.64</v>
      </c>
      <c r="O1128">
        <v>515200</v>
      </c>
    </row>
    <row r="1129" spans="1:15" ht="15.75" thickBot="1">
      <c r="A1129" s="20">
        <v>0.94228000000000001</v>
      </c>
      <c r="C1129" s="21">
        <v>304.2</v>
      </c>
      <c r="E1129" s="19">
        <v>348</v>
      </c>
      <c r="H1129">
        <f>E1129-O1129*0.001/70-20</f>
        <v>322.18</v>
      </c>
      <c r="O1129">
        <v>407400</v>
      </c>
    </row>
    <row r="1130" spans="1:15" ht="15.75" thickBot="1">
      <c r="A1130" s="20">
        <v>1.0542800000000001</v>
      </c>
      <c r="C1130" s="21">
        <v>306.8</v>
      </c>
      <c r="E1130" s="19">
        <v>350</v>
      </c>
      <c r="H1130">
        <f>E1130-O1130*0.001/70-20</f>
        <v>325.25428571428574</v>
      </c>
      <c r="O1130">
        <v>332200</v>
      </c>
    </row>
    <row r="1131" spans="1:15" ht="15.75" thickBot="1">
      <c r="A1131" s="20">
        <v>1.16628</v>
      </c>
      <c r="C1131" s="21">
        <v>312.7</v>
      </c>
      <c r="E1131" s="19">
        <v>352</v>
      </c>
      <c r="F1131" s="19">
        <v>1305</v>
      </c>
      <c r="H1131">
        <f>E1131-O1131*0.001/70-20</f>
        <v>328.04</v>
      </c>
      <c r="O1131">
        <v>277200</v>
      </c>
    </row>
    <row r="1132" spans="1:15" ht="15.75" thickBot="1">
      <c r="A1132" s="20">
        <v>1.2782800000000001</v>
      </c>
      <c r="F1132" s="25">
        <v>1231</v>
      </c>
      <c r="O1132">
        <v>240400</v>
      </c>
    </row>
    <row r="1133" spans="1:15" ht="15.75" thickBot="1">
      <c r="A1133" s="20">
        <v>1.39028</v>
      </c>
      <c r="F1133" s="25">
        <v>1174</v>
      </c>
      <c r="O1133">
        <v>214000</v>
      </c>
    </row>
    <row r="1134" spans="1:15" ht="15.75" thickBot="1">
      <c r="A1134" s="20">
        <v>1.5022800000000001</v>
      </c>
      <c r="F1134" s="25">
        <v>1123</v>
      </c>
      <c r="O1134">
        <v>193600</v>
      </c>
    </row>
    <row r="1135" spans="1:15" ht="15.75" thickBot="1">
      <c r="A1135" s="20">
        <v>1.6222799999999999</v>
      </c>
      <c r="F1135" s="28">
        <v>1084</v>
      </c>
      <c r="O1135">
        <v>177400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2010-06-15T22:31:49Z</dcterms:modified>
</cp:coreProperties>
</file>